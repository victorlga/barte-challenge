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trato_Limpo" sheetId="1" state="visible" r:id="rId3"/>
    <sheet name="ERP_Limpo" sheetId="2" state="visible" r:id="rId4"/>
    <sheet name="Receita_Completa" sheetId="3" state="visible" r:id="rId5"/>
    <sheet name="DRE_Corrigida" sheetId="4" state="visible" r:id="rId6"/>
    <sheet name="Caixa_Corrigido" sheetId="5" state="visible" r:id="rId7"/>
    <sheet name="AP_AR_Anotado" sheetId="6" state="visible" r:id="rId8"/>
    <sheet name="Dashboard" sheetId="7" state="visible" r:id="rId9"/>
  </sheets>
  <definedNames>
    <definedName function="false" hidden="true" localSheetId="1" name="_xlnm._FilterDatabase" vbProcedure="false">ERP_Limpo!$A$1:$O$201</definedName>
    <definedName function="false" hidden="true" localSheetId="0" name="_xlnm._FilterDatabase" vbProcedure="false">Extrato_Limpo!$A$1:$I$181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<sst xmlns="http://schemas.openxmlformats.org/spreadsheetml/2006/main" count="3585" uniqueCount="737">
  <si>
    <t xml:space="preserve">Data</t>
  </si>
  <si>
    <t xml:space="preserve">Descrição</t>
  </si>
  <si>
    <t xml:space="preserve">Tipo</t>
  </si>
  <si>
    <t xml:space="preserve">Valor (R$)</t>
  </si>
  <si>
    <t xml:space="preserve">Ref. Interna</t>
  </si>
  <si>
    <t xml:space="preserve">Banco</t>
  </si>
  <si>
    <t xml:space="preserve">Categoria</t>
  </si>
  <si>
    <t xml:space="preserve">Operacional</t>
  </si>
  <si>
    <t xml:space="preserve">Mês</t>
  </si>
  <si>
    <t xml:space="preserve">ENERGIA ELÉTRICA ESCRITÓRIO</t>
  </si>
  <si>
    <t xml:space="preserve">TED Enviada</t>
  </si>
  <si>
    <t xml:space="preserve">Itaú</t>
  </si>
  <si>
    <t xml:space="preserve">Utilities</t>
  </si>
  <si>
    <t xml:space="preserve">Sim</t>
  </si>
  <si>
    <t xml:space="preserve">Out/25</t>
  </si>
  <si>
    <t xml:space="preserve">SEGURO EMPRESARIAL</t>
  </si>
  <si>
    <t xml:space="preserve">Débito Automático</t>
  </si>
  <si>
    <t xml:space="preserve">REF-47056</t>
  </si>
  <si>
    <t xml:space="preserve">BTG</t>
  </si>
  <si>
    <t xml:space="preserve">Seguros</t>
  </si>
  <si>
    <t xml:space="preserve">Boleto Pago</t>
  </si>
  <si>
    <t xml:space="preserve">AWS SERVICES - INFRAESTRUTURA</t>
  </si>
  <si>
    <t xml:space="preserve">REF-32962</t>
  </si>
  <si>
    <t xml:space="preserve">Infraestrutura Cloud</t>
  </si>
  <si>
    <t xml:space="preserve">VIAGEM SP-BH EQUIPE COMERCIAL</t>
  </si>
  <si>
    <t xml:space="preserve">Viagens</t>
  </si>
  <si>
    <t xml:space="preserve">MATERIAL ESCRITÓRIO</t>
  </si>
  <si>
    <t xml:space="preserve">Tarifa Bancária</t>
  </si>
  <si>
    <t xml:space="preserve">Outros</t>
  </si>
  <si>
    <t xml:space="preserve">REF-11792</t>
  </si>
  <si>
    <t xml:space="preserve">Inter</t>
  </si>
  <si>
    <t xml:space="preserve">REF-84341</t>
  </si>
  <si>
    <t xml:space="preserve">RENDIMENTO APLICAÇÃO CDB</t>
  </si>
  <si>
    <t xml:space="preserve">PIX Recebido</t>
  </si>
  <si>
    <t xml:space="preserve">REF-27987</t>
  </si>
  <si>
    <t xml:space="preserve">Receita Financeira</t>
  </si>
  <si>
    <t xml:space="preserve">Não</t>
  </si>
  <si>
    <t xml:space="preserve">PIX Enviado</t>
  </si>
  <si>
    <t xml:space="preserve">REF-40982</t>
  </si>
  <si>
    <t xml:space="preserve">PGTO FREELANCER DEV - PJ</t>
  </si>
  <si>
    <t xml:space="preserve">REF-20500</t>
  </si>
  <si>
    <t xml:space="preserve">Freelancers/Fornecedores</t>
  </si>
  <si>
    <t xml:space="preserve">PLANO SAÚDE EQUIPE</t>
  </si>
  <si>
    <t xml:space="preserve">Benefícios</t>
  </si>
  <si>
    <t xml:space="preserve">CLIENTE ALPHA TECH LTDA - NF 1042</t>
  </si>
  <si>
    <t xml:space="preserve">REF-73532</t>
  </si>
  <si>
    <t xml:space="preserve">Receita de Cliente</t>
  </si>
  <si>
    <t xml:space="preserve">REF-84668</t>
  </si>
  <si>
    <t xml:space="preserve">SALÁRIOS E ENCARGOS - FOLHA</t>
  </si>
  <si>
    <t xml:space="preserve">Pessoal</t>
  </si>
  <si>
    <t xml:space="preserve">SLACK - LICENÇA ENTERPRISE</t>
  </si>
  <si>
    <t xml:space="preserve">REF-65723</t>
  </si>
  <si>
    <t xml:space="preserve">SaaS/Ferramentas</t>
  </si>
  <si>
    <t xml:space="preserve">REF-93507</t>
  </si>
  <si>
    <t xml:space="preserve">TRANSFERÊNCIA PARA CONTA RESERVA</t>
  </si>
  <si>
    <t xml:space="preserve">Transferência Interna</t>
  </si>
  <si>
    <t xml:space="preserve">REF-27054</t>
  </si>
  <si>
    <t xml:space="preserve">GITHUB ENTERPRISE</t>
  </si>
  <si>
    <t xml:space="preserve">REF-97841</t>
  </si>
  <si>
    <t xml:space="preserve">IMPOSTOS DAS/SIMPLES</t>
  </si>
  <si>
    <t xml:space="preserve">REF-84177</t>
  </si>
  <si>
    <t xml:space="preserve">Impostos</t>
  </si>
  <si>
    <t xml:space="preserve">TED Recebida</t>
  </si>
  <si>
    <t xml:space="preserve">REF-96275</t>
  </si>
  <si>
    <t xml:space="preserve">REF-20322</t>
  </si>
  <si>
    <t xml:space="preserve">REF-98647</t>
  </si>
  <si>
    <t xml:space="preserve">CLIENTE BETA SAAS S.A. - NF 1038</t>
  </si>
  <si>
    <t xml:space="preserve">REF-79066</t>
  </si>
  <si>
    <t xml:space="preserve">ESTORNO COBRANÇA INDEVIDA</t>
  </si>
  <si>
    <t xml:space="preserve">Estorno</t>
  </si>
  <si>
    <t xml:space="preserve">REF-26614</t>
  </si>
  <si>
    <t xml:space="preserve">CLIENTE THETA LABS - NF 1070</t>
  </si>
  <si>
    <t xml:space="preserve">Crédito Investimento</t>
  </si>
  <si>
    <t xml:space="preserve">REF-88301</t>
  </si>
  <si>
    <t xml:space="preserve">REF-68008</t>
  </si>
  <si>
    <t xml:space="preserve">REEMBOLSO VIAGEM CONF TECH</t>
  </si>
  <si>
    <t xml:space="preserve">REF-64377</t>
  </si>
  <si>
    <t xml:space="preserve">HUBSPOT - LICENÇA MENSAL</t>
  </si>
  <si>
    <t xml:space="preserve">REF-69598</t>
  </si>
  <si>
    <t xml:space="preserve">CLIENTE DELTA CLOUD - NF 1055</t>
  </si>
  <si>
    <t xml:space="preserve">REF-51104</t>
  </si>
  <si>
    <t xml:space="preserve">REF-22240</t>
  </si>
  <si>
    <t xml:space="preserve">ALUGUEL COWORKING BERRINI</t>
  </si>
  <si>
    <t xml:space="preserve">Aluguel e Facilities</t>
  </si>
  <si>
    <t xml:space="preserve">REF-36071</t>
  </si>
  <si>
    <t xml:space="preserve">REF-63964</t>
  </si>
  <si>
    <t xml:space="preserve">REF-51114</t>
  </si>
  <si>
    <t xml:space="preserve">REF-73372</t>
  </si>
  <si>
    <t xml:space="preserve">CLIENTE KAPPA PAY - NF 1080</t>
  </si>
  <si>
    <t xml:space="preserve">REF-86435</t>
  </si>
  <si>
    <t xml:space="preserve">REF-82132</t>
  </si>
  <si>
    <t xml:space="preserve">REF-28776</t>
  </si>
  <si>
    <t xml:space="preserve">REF-64987</t>
  </si>
  <si>
    <t xml:space="preserve">PGTO FORNECEDOR DESIGN</t>
  </si>
  <si>
    <t xml:space="preserve">REF-88116</t>
  </si>
  <si>
    <t xml:space="preserve">REF-64524</t>
  </si>
  <si>
    <t xml:space="preserve">REF-10942</t>
  </si>
  <si>
    <t xml:space="preserve">ANTECIPAÇÃO RECEBÍVEIS</t>
  </si>
  <si>
    <t xml:space="preserve">REF-39831</t>
  </si>
  <si>
    <t xml:space="preserve">CLIENTE IOTA SYSTEMS - NF 1075</t>
  </si>
  <si>
    <t xml:space="preserve">REF-25906</t>
  </si>
  <si>
    <t xml:space="preserve">DATADOG - MONITORAMENTO</t>
  </si>
  <si>
    <t xml:space="preserve">REF-23173</t>
  </si>
  <si>
    <t xml:space="preserve">CLIENTE ZETA AI - NF 1063</t>
  </si>
  <si>
    <t xml:space="preserve">REF-84847</t>
  </si>
  <si>
    <t xml:space="preserve">REF-43586</t>
  </si>
  <si>
    <t xml:space="preserve">REF-23970</t>
  </si>
  <si>
    <t xml:space="preserve">Nov/25</t>
  </si>
  <si>
    <t xml:space="preserve">REF-27892</t>
  </si>
  <si>
    <t xml:space="preserve">REF-37152</t>
  </si>
  <si>
    <t xml:space="preserve">REF-94717</t>
  </si>
  <si>
    <t xml:space="preserve">REF-36365</t>
  </si>
  <si>
    <t xml:space="preserve">REF-82845</t>
  </si>
  <si>
    <t xml:space="preserve">REF-98039</t>
  </si>
  <si>
    <t xml:space="preserve">REF-89276</t>
  </si>
  <si>
    <t xml:space="preserve">REF-92149</t>
  </si>
  <si>
    <t xml:space="preserve">NOTION - LICENÇA TEAM</t>
  </si>
  <si>
    <t xml:space="preserve">REF-38255</t>
  </si>
  <si>
    <t xml:space="preserve">REF-80798</t>
  </si>
  <si>
    <t xml:space="preserve">REF-10336</t>
  </si>
  <si>
    <t xml:space="preserve">REF-89482</t>
  </si>
  <si>
    <t xml:space="preserve">CLIENTE EPSILON DATA - NF 1060</t>
  </si>
  <si>
    <t xml:space="preserve">REF-57537</t>
  </si>
  <si>
    <t xml:space="preserve">REF-24408</t>
  </si>
  <si>
    <t xml:space="preserve">REF-95717</t>
  </si>
  <si>
    <t xml:space="preserve">REF-87014</t>
  </si>
  <si>
    <t xml:space="preserve">REF-34920</t>
  </si>
  <si>
    <t xml:space="preserve">REF-44522</t>
  </si>
  <si>
    <t xml:space="preserve">CLIENTE GAMMA DIGITAL - NF 1051</t>
  </si>
  <si>
    <t xml:space="preserve">REF-45954</t>
  </si>
  <si>
    <t xml:space="preserve">REF-95814</t>
  </si>
  <si>
    <t xml:space="preserve">REF-73483</t>
  </si>
  <si>
    <t xml:space="preserve">REF-65872</t>
  </si>
  <si>
    <t xml:space="preserve">REF-87607</t>
  </si>
  <si>
    <t xml:space="preserve">GOOGLE CLOUD PLATFORM</t>
  </si>
  <si>
    <t xml:space="preserve">REF-49857</t>
  </si>
  <si>
    <t xml:space="preserve">REF-73464</t>
  </si>
  <si>
    <t xml:space="preserve">REF-10150</t>
  </si>
  <si>
    <t xml:space="preserve">REF-72163</t>
  </si>
  <si>
    <t xml:space="preserve">REF-59695</t>
  </si>
  <si>
    <t xml:space="preserve">REF-88139</t>
  </si>
  <si>
    <t xml:space="preserve">REF-85392</t>
  </si>
  <si>
    <t xml:space="preserve">REF-57953</t>
  </si>
  <si>
    <t xml:space="preserve">REF-86556</t>
  </si>
  <si>
    <t xml:space="preserve">REF-34727</t>
  </si>
  <si>
    <t xml:space="preserve">REF-44671</t>
  </si>
  <si>
    <t xml:space="preserve">REF-91560</t>
  </si>
  <si>
    <t xml:space="preserve">REF-43065</t>
  </si>
  <si>
    <t xml:space="preserve">REF-11658</t>
  </si>
  <si>
    <t xml:space="preserve">REF-22899</t>
  </si>
  <si>
    <t xml:space="preserve">REF-23473</t>
  </si>
  <si>
    <t xml:space="preserve">REF-74042</t>
  </si>
  <si>
    <t xml:space="preserve">REF-33600</t>
  </si>
  <si>
    <t xml:space="preserve">INVESTIDOR SERIES A - APORTE</t>
  </si>
  <si>
    <t xml:space="preserve">REF-83526</t>
  </si>
  <si>
    <t xml:space="preserve">Aporte de Investidor</t>
  </si>
  <si>
    <t xml:space="preserve">REF-25860</t>
  </si>
  <si>
    <t xml:space="preserve">REF-28373</t>
  </si>
  <si>
    <t xml:space="preserve">REF-55056</t>
  </si>
  <si>
    <t xml:space="preserve">TARIFA MANUTENÇÃO CONTA</t>
  </si>
  <si>
    <t xml:space="preserve">REF-10282</t>
  </si>
  <si>
    <t xml:space="preserve">REF-54375</t>
  </si>
  <si>
    <t xml:space="preserve">REF-21359</t>
  </si>
  <si>
    <t xml:space="preserve">REF-30379</t>
  </si>
  <si>
    <t xml:space="preserve">REF-13761</t>
  </si>
  <si>
    <t xml:space="preserve">REF-96363</t>
  </si>
  <si>
    <t xml:space="preserve">REF-91070</t>
  </si>
  <si>
    <t xml:space="preserve">REF-23104</t>
  </si>
  <si>
    <t xml:space="preserve">REF-74799</t>
  </si>
  <si>
    <t xml:space="preserve">REF-84395</t>
  </si>
  <si>
    <t xml:space="preserve">REF-17331</t>
  </si>
  <si>
    <t xml:space="preserve">REF-91973</t>
  </si>
  <si>
    <t xml:space="preserve">REF-95215</t>
  </si>
  <si>
    <t xml:space="preserve">ADVOGADOS ASSOCIADOS - HONORÁRIOS</t>
  </si>
  <si>
    <t xml:space="preserve">REF-72616</t>
  </si>
  <si>
    <t xml:space="preserve">REF-53228</t>
  </si>
  <si>
    <t xml:space="preserve">REF-82063</t>
  </si>
  <si>
    <t xml:space="preserve">Dez/25</t>
  </si>
  <si>
    <t xml:space="preserve">REF-30052</t>
  </si>
  <si>
    <t xml:space="preserve">REF-29442</t>
  </si>
  <si>
    <t xml:space="preserve">REF-99192</t>
  </si>
  <si>
    <t xml:space="preserve">REF-73242</t>
  </si>
  <si>
    <t xml:space="preserve">REF-72216</t>
  </si>
  <si>
    <t xml:space="preserve">REF-48684</t>
  </si>
  <si>
    <t xml:space="preserve">REF-74451</t>
  </si>
  <si>
    <t xml:space="preserve">REF-87812</t>
  </si>
  <si>
    <t xml:space="preserve">REF-28131</t>
  </si>
  <si>
    <t xml:space="preserve">REF-42018</t>
  </si>
  <si>
    <t xml:space="preserve">REF-80804</t>
  </si>
  <si>
    <t xml:space="preserve">REF-15482</t>
  </si>
  <si>
    <t xml:space="preserve">REF-13804</t>
  </si>
  <si>
    <t xml:space="preserve">REF-25814</t>
  </si>
  <si>
    <t xml:space="preserve">REF-41029</t>
  </si>
  <si>
    <t xml:space="preserve">REF-82768</t>
  </si>
  <si>
    <t xml:space="preserve">REF-89471</t>
  </si>
  <si>
    <t xml:space="preserve">REF-20458</t>
  </si>
  <si>
    <t xml:space="preserve">REF-64921</t>
  </si>
  <si>
    <t xml:space="preserve">REF-59968</t>
  </si>
  <si>
    <t xml:space="preserve">REF-78522</t>
  </si>
  <si>
    <t xml:space="preserve">REF-77000</t>
  </si>
  <si>
    <t xml:space="preserve">REF-12011</t>
  </si>
  <si>
    <t xml:space="preserve">REF-90694</t>
  </si>
  <si>
    <t xml:space="preserve">REF-82512</t>
  </si>
  <si>
    <t xml:space="preserve">REF-15817</t>
  </si>
  <si>
    <t xml:space="preserve">REF-37549</t>
  </si>
  <si>
    <t xml:space="preserve">REF-45054</t>
  </si>
  <si>
    <t xml:space="preserve">REF-50538</t>
  </si>
  <si>
    <t xml:space="preserve">REF-87139</t>
  </si>
  <si>
    <t xml:space="preserve">REF-19838</t>
  </si>
  <si>
    <t xml:space="preserve">REF-60422</t>
  </si>
  <si>
    <t xml:space="preserve">REF-63516</t>
  </si>
  <si>
    <t xml:space="preserve">REF-59308</t>
  </si>
  <si>
    <t xml:space="preserve">REF-56090</t>
  </si>
  <si>
    <t xml:space="preserve">REF-90120</t>
  </si>
  <si>
    <t xml:space="preserve">REF-58689</t>
  </si>
  <si>
    <t xml:space="preserve">REF-89964</t>
  </si>
  <si>
    <t xml:space="preserve">REF-54587</t>
  </si>
  <si>
    <t xml:space="preserve">REF-26011</t>
  </si>
  <si>
    <t xml:space="preserve">REF-69614</t>
  </si>
  <si>
    <t xml:space="preserve">REF-59808</t>
  </si>
  <si>
    <t xml:space="preserve">REF-42087</t>
  </si>
  <si>
    <t xml:space="preserve">REF-19287</t>
  </si>
  <si>
    <t xml:space="preserve">REF-42914</t>
  </si>
  <si>
    <t xml:space="preserve">Data Lançamento</t>
  </si>
  <si>
    <t xml:space="preserve">Data Competência</t>
  </si>
  <si>
    <t xml:space="preserve">Centro de Custo</t>
  </si>
  <si>
    <t xml:space="preserve">Categoria (Original)</t>
  </si>
  <si>
    <t xml:space="preserve">NF/Doc</t>
  </si>
  <si>
    <t xml:space="preserve">Status</t>
  </si>
  <si>
    <t xml:space="preserve">Fornecedor/Cliente</t>
  </si>
  <si>
    <t xml:space="preserve">Categoria_Corrigida</t>
  </si>
  <si>
    <t xml:space="preserve">Flag_Competencia</t>
  </si>
  <si>
    <t xml:space="preserve">Flag_NF_Duplicada</t>
  </si>
  <si>
    <t xml:space="preserve">Flag_Sem_Doc</t>
  </si>
  <si>
    <t xml:space="preserve">Mês_Competencia</t>
  </si>
  <si>
    <t xml:space="preserve">Porto Seguro - Viagens</t>
  </si>
  <si>
    <t xml:space="preserve">Infraestrutura</t>
  </si>
  <si>
    <t xml:space="preserve">Despesa</t>
  </si>
  <si>
    <t xml:space="preserve">DOC-8527</t>
  </si>
  <si>
    <t xml:space="preserve">Divergente</t>
  </si>
  <si>
    <t xml:space="preserve">Porto Seguro</t>
  </si>
  <si>
    <t xml:space="preserve">Kappa Pay - Receita de Consultoria</t>
  </si>
  <si>
    <t xml:space="preserve">Comercial</t>
  </si>
  <si>
    <t xml:space="preserve">Receita de Consultoria</t>
  </si>
  <si>
    <t xml:space="preserve">Receita</t>
  </si>
  <si>
    <t xml:space="preserve">NF-1074</t>
  </si>
  <si>
    <t xml:space="preserve">Em Aberto</t>
  </si>
  <si>
    <t xml:space="preserve">Kappa Pay</t>
  </si>
  <si>
    <t xml:space="preserve">DUPLICADA</t>
  </si>
  <si>
    <t xml:space="preserve">GitHub - Pessoal</t>
  </si>
  <si>
    <t xml:space="preserve">Marketing</t>
  </si>
  <si>
    <t xml:space="preserve">DOC-8958</t>
  </si>
  <si>
    <t xml:space="preserve">Pendente</t>
  </si>
  <si>
    <t xml:space="preserve">GitHub</t>
  </si>
  <si>
    <t xml:space="preserve">Kappa Pay - Receita de Setup</t>
  </si>
  <si>
    <t xml:space="preserve">Receita de Setup</t>
  </si>
  <si>
    <t xml:space="preserve">NF-1055</t>
  </si>
  <si>
    <t xml:space="preserve">Alpha Tech - Outras Receitas</t>
  </si>
  <si>
    <t xml:space="preserve">Outras Receitas</t>
  </si>
  <si>
    <t xml:space="preserve">NF-1070</t>
  </si>
  <si>
    <t xml:space="preserve">Alpha Tech</t>
  </si>
  <si>
    <t xml:space="preserve">Beta SaaS - Receita Recorrente (MRR)</t>
  </si>
  <si>
    <t xml:space="preserve">Receita Recorrente (MRR)</t>
  </si>
  <si>
    <t xml:space="preserve">NF-1073</t>
  </si>
  <si>
    <t xml:space="preserve">Conciliado</t>
  </si>
  <si>
    <t xml:space="preserve">Beta SaaS</t>
  </si>
  <si>
    <t xml:space="preserve">Slack - Impostos</t>
  </si>
  <si>
    <t xml:space="preserve">Slack</t>
  </si>
  <si>
    <t xml:space="preserve">DIVERGENTE</t>
  </si>
  <si>
    <t xml:space="preserve">SEM DOCUMENTO</t>
  </si>
  <si>
    <t xml:space="preserve">Set/25</t>
  </si>
  <si>
    <t xml:space="preserve">Porto Seguro - Freelancers/PJ</t>
  </si>
  <si>
    <t xml:space="preserve">Freelancers/PJ</t>
  </si>
  <si>
    <t xml:space="preserve">DOC-6235</t>
  </si>
  <si>
    <t xml:space="preserve">Google Cloud - Freelancers/PJ</t>
  </si>
  <si>
    <t xml:space="preserve">Google Cloud</t>
  </si>
  <si>
    <t xml:space="preserve">ContaAzul - SaaS/Ferramentas</t>
  </si>
  <si>
    <t xml:space="preserve">CS/Suporte</t>
  </si>
  <si>
    <t xml:space="preserve">DOC-5384</t>
  </si>
  <si>
    <t xml:space="preserve">ContaAzul</t>
  </si>
  <si>
    <t xml:space="preserve">Datadog - Benefícios</t>
  </si>
  <si>
    <t xml:space="preserve">DOC-7397</t>
  </si>
  <si>
    <t xml:space="preserve">Datadog</t>
  </si>
  <si>
    <t xml:space="preserve">Slack - Benefícios</t>
  </si>
  <si>
    <t xml:space="preserve">DOC-6423</t>
  </si>
  <si>
    <t xml:space="preserve">Ago/25</t>
  </si>
  <si>
    <t xml:space="preserve">Freelancer A - Pessoal</t>
  </si>
  <si>
    <t xml:space="preserve">DOC-6982</t>
  </si>
  <si>
    <t xml:space="preserve">Freelancer A</t>
  </si>
  <si>
    <t xml:space="preserve">ContaAzul - Infraestrutura Cloud</t>
  </si>
  <si>
    <t xml:space="preserve">DOC-5565</t>
  </si>
  <si>
    <t xml:space="preserve">Freelancer A - Infraestrutura Cloud</t>
  </si>
  <si>
    <t xml:space="preserve">Produto</t>
  </si>
  <si>
    <t xml:space="preserve">DOC-8023</t>
  </si>
  <si>
    <t xml:space="preserve">Slack - Freelancers/PJ</t>
  </si>
  <si>
    <t xml:space="preserve">Zeta AI - Receita Recorrente (MRR)</t>
  </si>
  <si>
    <t xml:space="preserve">NF-1071</t>
  </si>
  <si>
    <t xml:space="preserve">Zeta AI</t>
  </si>
  <si>
    <t xml:space="preserve">Freelancer A - Aluguel e Facilities</t>
  </si>
  <si>
    <t xml:space="preserve">DOC-8112</t>
  </si>
  <si>
    <t xml:space="preserve">Delta Cloud - Receita de Consultoria</t>
  </si>
  <si>
    <t xml:space="preserve">NF-1044</t>
  </si>
  <si>
    <t xml:space="preserve">Delta Cloud</t>
  </si>
  <si>
    <t xml:space="preserve">Silva &amp; Advogados - SaaS/Ferramentas</t>
  </si>
  <si>
    <t xml:space="preserve">Engenharia</t>
  </si>
  <si>
    <t xml:space="preserve">DOC-6918</t>
  </si>
  <si>
    <t xml:space="preserve">Silva &amp; Advogados</t>
  </si>
  <si>
    <t xml:space="preserve">Jurídico e Contabilidade</t>
  </si>
  <si>
    <t xml:space="preserve">Gamma Digital - Outras Receitas</t>
  </si>
  <si>
    <t xml:space="preserve">NF-1066</t>
  </si>
  <si>
    <t xml:space="preserve">Gamma Digital</t>
  </si>
  <si>
    <t xml:space="preserve">Silva &amp; Advogados - Freelancers/PJ</t>
  </si>
  <si>
    <t xml:space="preserve">Slack - Aluguel e Facilities</t>
  </si>
  <si>
    <t xml:space="preserve">DOC-7220</t>
  </si>
  <si>
    <t xml:space="preserve">Beta SaaS - Receita de Setup</t>
  </si>
  <si>
    <t xml:space="preserve">NF-1063</t>
  </si>
  <si>
    <t xml:space="preserve">DOC-7189</t>
  </si>
  <si>
    <t xml:space="preserve">GitHub - Viagens</t>
  </si>
  <si>
    <t xml:space="preserve">DOC-6700</t>
  </si>
  <si>
    <t xml:space="preserve">Porto Seguro - Seguros</t>
  </si>
  <si>
    <t xml:space="preserve">DOC-6176</t>
  </si>
  <si>
    <t xml:space="preserve">HubSpot - Impostos</t>
  </si>
  <si>
    <t xml:space="preserve">HubSpot</t>
  </si>
  <si>
    <t xml:space="preserve">G&amp;A</t>
  </si>
  <si>
    <t xml:space="preserve">DOC-9723</t>
  </si>
  <si>
    <t xml:space="preserve">Epsilon Data - Receita Recorrente (MRR)</t>
  </si>
  <si>
    <t xml:space="preserve">NF-1084</t>
  </si>
  <si>
    <t xml:space="preserve">Epsilon Data</t>
  </si>
  <si>
    <t xml:space="preserve">AWS - SaaS/Ferramentas</t>
  </si>
  <si>
    <t xml:space="preserve">DOC-9064</t>
  </si>
  <si>
    <t xml:space="preserve">AWS</t>
  </si>
  <si>
    <t xml:space="preserve">Google Cloud - Jurídico e Contabilidade</t>
  </si>
  <si>
    <t xml:space="preserve">DOC-9306</t>
  </si>
  <si>
    <t xml:space="preserve">WeWork - Impostos</t>
  </si>
  <si>
    <t xml:space="preserve">WeWork</t>
  </si>
  <si>
    <t xml:space="preserve">Freelancer B - Pessoal</t>
  </si>
  <si>
    <t xml:space="preserve">DOC-9460</t>
  </si>
  <si>
    <t xml:space="preserve">Freelancer B</t>
  </si>
  <si>
    <t xml:space="preserve">GitHub - Freelancers/PJ</t>
  </si>
  <si>
    <t xml:space="preserve">DOC-7201</t>
  </si>
  <si>
    <t xml:space="preserve">Alpha Tech - Receita de Setup</t>
  </si>
  <si>
    <t xml:space="preserve">Iota Systems - Receita de Consultoria</t>
  </si>
  <si>
    <t xml:space="preserve">NF-1067</t>
  </si>
  <si>
    <t xml:space="preserve">Iota Systems</t>
  </si>
  <si>
    <t xml:space="preserve">WeWork - Infraestrutura Cloud</t>
  </si>
  <si>
    <t xml:space="preserve">DOC-5950</t>
  </si>
  <si>
    <t xml:space="preserve">DOC-5541</t>
  </si>
  <si>
    <t xml:space="preserve">Google Cloud - Seguros</t>
  </si>
  <si>
    <t xml:space="preserve">DOC-7876</t>
  </si>
  <si>
    <t xml:space="preserve">Notion - Marketing e Eventos</t>
  </si>
  <si>
    <t xml:space="preserve">Marketing e Eventos</t>
  </si>
  <si>
    <t xml:space="preserve">DOC-7334</t>
  </si>
  <si>
    <t xml:space="preserve">Notion</t>
  </si>
  <si>
    <t xml:space="preserve">ContaAzul - Aluguel e Facilities</t>
  </si>
  <si>
    <t xml:space="preserve">DOC-7326</t>
  </si>
  <si>
    <t xml:space="preserve">HubSpot - Jurídico e Contabilidade</t>
  </si>
  <si>
    <t xml:space="preserve">DOC-7716</t>
  </si>
  <si>
    <t xml:space="preserve">ContaAzul - Jurídico e Contabilidade</t>
  </si>
  <si>
    <t xml:space="preserve">Delta Cloud - Outras Receitas</t>
  </si>
  <si>
    <t xml:space="preserve">NF-1090</t>
  </si>
  <si>
    <t xml:space="preserve">Gamma Digital - Receita de Consultoria</t>
  </si>
  <si>
    <t xml:space="preserve">NF-1039</t>
  </si>
  <si>
    <t xml:space="preserve">Iota Systems - Receita de Setup</t>
  </si>
  <si>
    <t xml:space="preserve">NF-1069</t>
  </si>
  <si>
    <t xml:space="preserve">DOC-6229</t>
  </si>
  <si>
    <t xml:space="preserve">Delta Cloud - Receita de Setup</t>
  </si>
  <si>
    <t xml:space="preserve">NF-1078</t>
  </si>
  <si>
    <t xml:space="preserve">DOC-9309</t>
  </si>
  <si>
    <t xml:space="preserve">NF-1033</t>
  </si>
  <si>
    <t xml:space="preserve">WeWork - Jurídico e Contabilidade</t>
  </si>
  <si>
    <t xml:space="preserve">DOC-7547</t>
  </si>
  <si>
    <t xml:space="preserve">Theta Labs - Receita Recorrente (MRR)</t>
  </si>
  <si>
    <t xml:space="preserve">NF-1068</t>
  </si>
  <si>
    <t xml:space="preserve">Theta Labs</t>
  </si>
  <si>
    <t xml:space="preserve">HubSpot - Freelancers/PJ</t>
  </si>
  <si>
    <t xml:space="preserve">DOC-7750</t>
  </si>
  <si>
    <t xml:space="preserve">Epsilon Data - Receita de Consultoria</t>
  </si>
  <si>
    <t xml:space="preserve">NF-1076</t>
  </si>
  <si>
    <t xml:space="preserve">Unimed - Freelancers/PJ</t>
  </si>
  <si>
    <t xml:space="preserve">DOC-9808</t>
  </si>
  <si>
    <t xml:space="preserve">Unimed</t>
  </si>
  <si>
    <t xml:space="preserve">AWS - Infraestrutura Cloud</t>
  </si>
  <si>
    <t xml:space="preserve">DOC-6310</t>
  </si>
  <si>
    <t xml:space="preserve">Kappa Pay - Outras Receitas</t>
  </si>
  <si>
    <t xml:space="preserve">NF-1087</t>
  </si>
  <si>
    <t xml:space="preserve">GitHub - Infraestrutura Cloud</t>
  </si>
  <si>
    <t xml:space="preserve">DOC-7388</t>
  </si>
  <si>
    <t xml:space="preserve">Iota Systems - Outras Receitas</t>
  </si>
  <si>
    <t xml:space="preserve">NF-1054</t>
  </si>
  <si>
    <t xml:space="preserve">Beta SaaS - Receita de Consultoria</t>
  </si>
  <si>
    <t xml:space="preserve">Slack - SaaS/Ferramentas</t>
  </si>
  <si>
    <t xml:space="preserve">DOC-9962</t>
  </si>
  <si>
    <t xml:space="preserve">Theta Labs - Receita de Consultoria</t>
  </si>
  <si>
    <t xml:space="preserve">Freelancer B - Seguros</t>
  </si>
  <si>
    <t xml:space="preserve">DOC-8890</t>
  </si>
  <si>
    <t xml:space="preserve">Freelancer A - Impostos</t>
  </si>
  <si>
    <t xml:space="preserve">DOC-9565</t>
  </si>
  <si>
    <t xml:space="preserve">GitHub - Jurídico e Contabilidade</t>
  </si>
  <si>
    <t xml:space="preserve">DOC-6601</t>
  </si>
  <si>
    <t xml:space="preserve">Theta Labs - Outras Receitas</t>
  </si>
  <si>
    <t xml:space="preserve">NF-1043</t>
  </si>
  <si>
    <t xml:space="preserve">DOC-6290</t>
  </si>
  <si>
    <t xml:space="preserve">Alpha Tech - Receita de Consultoria</t>
  </si>
  <si>
    <t xml:space="preserve">Freelancer B - Benefícios</t>
  </si>
  <si>
    <t xml:space="preserve">DOC-8858</t>
  </si>
  <si>
    <t xml:space="preserve">DOC-6660</t>
  </si>
  <si>
    <t xml:space="preserve">DOC-8075</t>
  </si>
  <si>
    <t xml:space="preserve">AWS - Aluguel e Facilities</t>
  </si>
  <si>
    <t xml:space="preserve">Gamma Digital - Receita Recorrente (MRR)</t>
  </si>
  <si>
    <t xml:space="preserve">NF-1058</t>
  </si>
  <si>
    <t xml:space="preserve">Zeta AI - Receita de Consultoria</t>
  </si>
  <si>
    <t xml:space="preserve">NF-1038</t>
  </si>
  <si>
    <t xml:space="preserve">DOC-6017</t>
  </si>
  <si>
    <t xml:space="preserve">Silva &amp; Advogados - Infraestrutura Cloud</t>
  </si>
  <si>
    <t xml:space="preserve">DOC-6092</t>
  </si>
  <si>
    <t xml:space="preserve">Delta Cloud - Receita Recorrente (MRR)</t>
  </si>
  <si>
    <t xml:space="preserve">NF-1079</t>
  </si>
  <si>
    <t xml:space="preserve">DOC-8589</t>
  </si>
  <si>
    <t xml:space="preserve">ContaAzul - Freelancers/PJ</t>
  </si>
  <si>
    <t xml:space="preserve">DOC-8966</t>
  </si>
  <si>
    <t xml:space="preserve">Silva &amp; Advogados - Jurídico e Contabilidade</t>
  </si>
  <si>
    <t xml:space="preserve">Google Cloud - Aluguel e Facilities</t>
  </si>
  <si>
    <t xml:space="preserve">DOC-8242</t>
  </si>
  <si>
    <t xml:space="preserve">Notion - Viagens</t>
  </si>
  <si>
    <t xml:space="preserve">DOC-7741</t>
  </si>
  <si>
    <t xml:space="preserve">NF-1061</t>
  </si>
  <si>
    <t xml:space="preserve">AWS - Viagens</t>
  </si>
  <si>
    <t xml:space="preserve">Google Cloud - Pessoal</t>
  </si>
  <si>
    <t xml:space="preserve">DOC-9691</t>
  </si>
  <si>
    <t xml:space="preserve">DOC-7623</t>
  </si>
  <si>
    <t xml:space="preserve">Unimed - Benefícios</t>
  </si>
  <si>
    <t xml:space="preserve">Google Cloud - SaaS/Ferramentas</t>
  </si>
  <si>
    <t xml:space="preserve">DOC-7283</t>
  </si>
  <si>
    <t xml:space="preserve">Gamma Digital - Receita de Setup</t>
  </si>
  <si>
    <t xml:space="preserve">HubSpot - Aluguel e Facilities</t>
  </si>
  <si>
    <t xml:space="preserve">DOC-5427</t>
  </si>
  <si>
    <t xml:space="preserve">Silva &amp; Advogados - Seguros</t>
  </si>
  <si>
    <t xml:space="preserve">DOC-6462</t>
  </si>
  <si>
    <t xml:space="preserve">Porto Seguro - Impostos</t>
  </si>
  <si>
    <t xml:space="preserve">DOC-8426</t>
  </si>
  <si>
    <t xml:space="preserve">Datadog - Infraestrutura Cloud</t>
  </si>
  <si>
    <t xml:space="preserve">DOC-9030</t>
  </si>
  <si>
    <t xml:space="preserve">NF-1065</t>
  </si>
  <si>
    <t xml:space="preserve">GitHub - SaaS/Ferramentas</t>
  </si>
  <si>
    <t xml:space="preserve">Zeta AI - Receita de Setup</t>
  </si>
  <si>
    <t xml:space="preserve">NF-1081</t>
  </si>
  <si>
    <t xml:space="preserve">DOC-5879</t>
  </si>
  <si>
    <t xml:space="preserve">DOC-9865</t>
  </si>
  <si>
    <t xml:space="preserve">NF-1048</t>
  </si>
  <si>
    <t xml:space="preserve">DOC-9188</t>
  </si>
  <si>
    <t xml:space="preserve">DOC-7631</t>
  </si>
  <si>
    <t xml:space="preserve">DOC-9744</t>
  </si>
  <si>
    <t xml:space="preserve">DOC-9738</t>
  </si>
  <si>
    <t xml:space="preserve">Slack - Viagens</t>
  </si>
  <si>
    <t xml:space="preserve">DOC-5510</t>
  </si>
  <si>
    <t xml:space="preserve">Notion - Freelancers/PJ</t>
  </si>
  <si>
    <t xml:space="preserve">NF-1051</t>
  </si>
  <si>
    <t xml:space="preserve">DOC-7244</t>
  </si>
  <si>
    <t xml:space="preserve">DOC-8247</t>
  </si>
  <si>
    <t xml:space="preserve">DOC-9253</t>
  </si>
  <si>
    <t xml:space="preserve">WeWork - Freelancers/PJ</t>
  </si>
  <si>
    <t xml:space="preserve">DOC-7923</t>
  </si>
  <si>
    <t xml:space="preserve">ContaAzul - Benefícios</t>
  </si>
  <si>
    <t xml:space="preserve">DOC-5455</t>
  </si>
  <si>
    <t xml:space="preserve">Notion - Infraestrutura Cloud</t>
  </si>
  <si>
    <t xml:space="preserve">DOC-9890</t>
  </si>
  <si>
    <t xml:space="preserve">Freelancer B - Infraestrutura Cloud</t>
  </si>
  <si>
    <t xml:space="preserve">NF-1050</t>
  </si>
  <si>
    <t xml:space="preserve">WeWork - SaaS/Ferramentas</t>
  </si>
  <si>
    <t xml:space="preserve">DOC-5922</t>
  </si>
  <si>
    <t xml:space="preserve">NF-1072</t>
  </si>
  <si>
    <t xml:space="preserve">DOC-6331</t>
  </si>
  <si>
    <t xml:space="preserve">Silva &amp; Advogados - Aluguel e Facilities</t>
  </si>
  <si>
    <t xml:space="preserve">DOC-5670</t>
  </si>
  <si>
    <t xml:space="preserve">Beta SaaS - Outras Receitas</t>
  </si>
  <si>
    <t xml:space="preserve">NF-1075</t>
  </si>
  <si>
    <t xml:space="preserve">DOC-5932</t>
  </si>
  <si>
    <t xml:space="preserve">Unimed - Infraestrutura Cloud</t>
  </si>
  <si>
    <t xml:space="preserve">DOC-6757</t>
  </si>
  <si>
    <t xml:space="preserve">Porto Seguro - Infraestrutura Cloud</t>
  </si>
  <si>
    <t xml:space="preserve">DOC-8005</t>
  </si>
  <si>
    <t xml:space="preserve">Iota Systems - Receita Recorrente (MRR)</t>
  </si>
  <si>
    <t xml:space="preserve">NF-1053</t>
  </si>
  <si>
    <t xml:space="preserve">HubSpot - Viagens</t>
  </si>
  <si>
    <t xml:space="preserve">DOC-6039</t>
  </si>
  <si>
    <t xml:space="preserve">DOC-6126</t>
  </si>
  <si>
    <t xml:space="preserve">DOC-9371</t>
  </si>
  <si>
    <t xml:space="preserve">Google Cloud - Marketing e Eventos</t>
  </si>
  <si>
    <t xml:space="preserve">DOC-5827</t>
  </si>
  <si>
    <t xml:space="preserve">DOC-6960</t>
  </si>
  <si>
    <t xml:space="preserve">HubSpot - Marketing e Eventos</t>
  </si>
  <si>
    <t xml:space="preserve">DOC-8262</t>
  </si>
  <si>
    <t xml:space="preserve">Unimed - Pessoal</t>
  </si>
  <si>
    <t xml:space="preserve">DOC-8591</t>
  </si>
  <si>
    <t xml:space="preserve">NF-1080</t>
  </si>
  <si>
    <t xml:space="preserve">Alpha Tech - Receita Recorrente (MRR)</t>
  </si>
  <si>
    <t xml:space="preserve">DOC-8226</t>
  </si>
  <si>
    <t xml:space="preserve">Notion - Impostos</t>
  </si>
  <si>
    <t xml:space="preserve">DOC-6526</t>
  </si>
  <si>
    <t xml:space="preserve">Epsilon Data - Outras Receitas</t>
  </si>
  <si>
    <t xml:space="preserve">NF-1042</t>
  </si>
  <si>
    <t xml:space="preserve">WeWork - Seguros</t>
  </si>
  <si>
    <t xml:space="preserve">Freelancer B - Viagens</t>
  </si>
  <si>
    <t xml:space="preserve">DOC-6146</t>
  </si>
  <si>
    <t xml:space="preserve">NF-1036</t>
  </si>
  <si>
    <t xml:space="preserve">Freelancer A - Benefícios</t>
  </si>
  <si>
    <t xml:space="preserve">Freelancer B - Marketing e Eventos</t>
  </si>
  <si>
    <t xml:space="preserve">Theta Labs - Receita de Setup</t>
  </si>
  <si>
    <t xml:space="preserve">NF-1045</t>
  </si>
  <si>
    <t xml:space="preserve">Porto Seguro - Aluguel e Facilities</t>
  </si>
  <si>
    <t xml:space="preserve">DOC-7614</t>
  </si>
  <si>
    <t xml:space="preserve">Freelancer A - Jurídico e Contabilidade</t>
  </si>
  <si>
    <t xml:space="preserve">ContaAzul - Pessoal</t>
  </si>
  <si>
    <t xml:space="preserve">DOC-6683</t>
  </si>
  <si>
    <t xml:space="preserve">GitHub - Benefícios</t>
  </si>
  <si>
    <t xml:space="preserve">DOC-9477</t>
  </si>
  <si>
    <t xml:space="preserve">Porto Seguro - Benefícios</t>
  </si>
  <si>
    <t xml:space="preserve">DOC-7647</t>
  </si>
  <si>
    <t xml:space="preserve">NF-1035</t>
  </si>
  <si>
    <t xml:space="preserve">NF-1040</t>
  </si>
  <si>
    <t xml:space="preserve">Silva &amp; Advogados - Impostos</t>
  </si>
  <si>
    <t xml:space="preserve">DOC-6582</t>
  </si>
  <si>
    <t xml:space="preserve">DOC-6507</t>
  </si>
  <si>
    <t xml:space="preserve">DOC-8378</t>
  </si>
  <si>
    <t xml:space="preserve">DOC-5439</t>
  </si>
  <si>
    <t xml:space="preserve">NF-1083</t>
  </si>
  <si>
    <t xml:space="preserve">Notion - Pessoal</t>
  </si>
  <si>
    <t xml:space="preserve">DOC-7564</t>
  </si>
  <si>
    <t xml:space="preserve">DOC-9406</t>
  </si>
  <si>
    <t xml:space="preserve">NF-1049</t>
  </si>
  <si>
    <t xml:space="preserve">Notion - Benefícios</t>
  </si>
  <si>
    <t xml:space="preserve">DOC-8986</t>
  </si>
  <si>
    <t xml:space="preserve">DOC-7690</t>
  </si>
  <si>
    <t xml:space="preserve">AWS - Marketing e Eventos</t>
  </si>
  <si>
    <t xml:space="preserve">DOC-6542</t>
  </si>
  <si>
    <t xml:space="preserve">Google Cloud - Viagens</t>
  </si>
  <si>
    <t xml:space="preserve">SEÇÃO 1 — MRR POR CLIENTE (fonte: Receita_Clientes original)</t>
  </si>
  <si>
    <t xml:space="preserve">Cliente</t>
  </si>
  <si>
    <t xml:space="preserve">Plano</t>
  </si>
  <si>
    <t xml:space="preserve">MRR Contratado (R$)</t>
  </si>
  <si>
    <t xml:space="preserve">Out/25 Faturado</t>
  </si>
  <si>
    <t xml:space="preserve">Nov/25 Faturado</t>
  </si>
  <si>
    <t xml:space="preserve">Dez/25 Faturado</t>
  </si>
  <si>
    <t xml:space="preserve">Churn Risk</t>
  </si>
  <si>
    <t xml:space="preserve">NF Emitida Out</t>
  </si>
  <si>
    <t xml:space="preserve">NF Emitida Nov</t>
  </si>
  <si>
    <t xml:space="preserve">NF Emitida Dez</t>
  </si>
  <si>
    <t xml:space="preserve">Enterprise</t>
  </si>
  <si>
    <t xml:space="preserve">Baixo</t>
  </si>
  <si>
    <t xml:space="preserve">Churned</t>
  </si>
  <si>
    <t xml:space="preserve">Emitida</t>
  </si>
  <si>
    <t xml:space="preserve">Em atraso</t>
  </si>
  <si>
    <t xml:space="preserve">N/A</t>
  </si>
  <si>
    <t xml:space="preserve">Growth</t>
  </si>
  <si>
    <t xml:space="preserve">Alto</t>
  </si>
  <si>
    <t xml:space="preserve">Médio</t>
  </si>
  <si>
    <t xml:space="preserve">Starter</t>
  </si>
  <si>
    <t xml:space="preserve">Lambda Fin</t>
  </si>
  <si>
    <t xml:space="preserve">Mu Analytics</t>
  </si>
  <si>
    <t xml:space="preserve">Nu Robotics</t>
  </si>
  <si>
    <t xml:space="preserve">Omicron Health</t>
  </si>
  <si>
    <t xml:space="preserve">Pi Logistics</t>
  </si>
  <si>
    <t xml:space="preserve">Rho Security</t>
  </si>
  <si>
    <t xml:space="preserve">TOTAL</t>
  </si>
  <si>
    <t xml:space="preserve">SEÇÃO 2 — RECEITA TOTAL POR CLIENTE (Q4 2025)</t>
  </si>
  <si>
    <t xml:space="preserve">MRR Q4 (Faturado)</t>
  </si>
  <si>
    <t xml:space="preserve">Receita ERP Q4</t>
  </si>
  <si>
    <t xml:space="preserve">Receita Extrato Q4</t>
  </si>
  <si>
    <t xml:space="preserve">Delta ERP vs Extrato</t>
  </si>
  <si>
    <t xml:space="preserve">Obs.</t>
  </si>
  <si>
    <t xml:space="preserve">Sem recebimento no extrato Q4 — possível inadimplência</t>
  </si>
  <si>
    <t xml:space="preserve">SEÇÃO 3 — CLIENTES SEM RECEBIMENTO NO EXTRATO Q4</t>
  </si>
  <si>
    <t xml:space="preserve">MRR Q4 Faturado</t>
  </si>
  <si>
    <t xml:space="preserve">Risco Churn</t>
  </si>
  <si>
    <t xml:space="preserve">Observação</t>
  </si>
  <si>
    <t xml:space="preserve">Nenhum recebimento no extrato Q4</t>
  </si>
  <si>
    <t xml:space="preserve">NF pendente/atraso nos 3 meses</t>
  </si>
  <si>
    <t xml:space="preserve">DRE CORRIGIDA — NUVIO TECH (Q4 2025)</t>
  </si>
  <si>
    <t xml:space="preserve">Q4 2025</t>
  </si>
  <si>
    <t xml:space="preserve">DRE Original (Out)</t>
  </si>
  <si>
    <t xml:space="preserve">Fonte/Nota</t>
  </si>
  <si>
    <t xml:space="preserve">Receita Bruta</t>
  </si>
  <si>
    <t xml:space="preserve">ERP_Limpo (todas receitas por Data Competência no Q4)</t>
  </si>
  <si>
    <t xml:space="preserve">  (-) Impostos sobre Receita (est. 7,5%)</t>
  </si>
  <si>
    <t xml:space="preserve">Estimativa: 7,5% Receita Bruta (ERP sem dados de impostos confiáveis)</t>
  </si>
  <si>
    <t xml:space="preserve">  (-) Deduções e Devoluções</t>
  </si>
  <si>
    <t xml:space="preserve">Sem dados ERP — manter 0 ou ajustar manualmente</t>
  </si>
  <si>
    <t xml:space="preserve">(=) Receita Líquida</t>
  </si>
  <si>
    <t xml:space="preserve">Custos dos Serviços (COGS)</t>
  </si>
  <si>
    <t xml:space="preserve">  Infraestrutura Cloud (AWS+GCP)</t>
  </si>
  <si>
    <t xml:space="preserve">ERP_Limpo, Categoria_Corrigida=Infraestrutura Cloud</t>
  </si>
  <si>
    <t xml:space="preserve">  SaaS/Ferramentas (operação)</t>
  </si>
  <si>
    <t xml:space="preserve">ERP_Limpo, Categoria_Corrigida=SaaS/Ferramentas</t>
  </si>
  <si>
    <t xml:space="preserve">(=) Lucro Bruto</t>
  </si>
  <si>
    <t xml:space="preserve">  Margem Bruta %</t>
  </si>
  <si>
    <t xml:space="preserve">Despesas Operacionais</t>
  </si>
  <si>
    <t xml:space="preserve">  Pessoal (Salários + Encargos)</t>
  </si>
  <si>
    <t xml:space="preserve">Extrato_Limpo (SALÁRIOS E ENCARGOS) — ERP sem dados Pessoal</t>
  </si>
  <si>
    <t xml:space="preserve">  Benefícios</t>
  </si>
  <si>
    <t xml:space="preserve">ERP_Limpo, Categoria_Corrigida=Benefícios</t>
  </si>
  <si>
    <t xml:space="preserve">  Freelancers / PJ</t>
  </si>
  <si>
    <t xml:space="preserve">ERP_Limpo, Categoria_Corrigida=Freelancers/PJ</t>
  </si>
  <si>
    <t xml:space="preserve">  Aluguel e Facilities</t>
  </si>
  <si>
    <t xml:space="preserve">ERP_Limpo, Categoria_Corrigida=Aluguel e Facilities</t>
  </si>
  <si>
    <t xml:space="preserve">  Jurídico e Contabilidade</t>
  </si>
  <si>
    <t xml:space="preserve">ERP_Limpo, Categoria_Corrigida=Jurídico e Contabilidade</t>
  </si>
  <si>
    <t xml:space="preserve">  Viagens</t>
  </si>
  <si>
    <t xml:space="preserve">ERP_Limpo, Categoria_Corrigida=Viagens</t>
  </si>
  <si>
    <t xml:space="preserve">  Seguros</t>
  </si>
  <si>
    <t xml:space="preserve">ERP_Limpo, Categoria_Corrigida=Seguros</t>
  </si>
  <si>
    <t xml:space="preserve">  Outros / Diversos</t>
  </si>
  <si>
    <t xml:space="preserve">ERP_Limpo, Categoria_Corrigida=Outros (categorias não mapeadas)</t>
  </si>
  <si>
    <t xml:space="preserve">(=) Total Despesas Operacionais</t>
  </si>
  <si>
    <t xml:space="preserve">(=) EBITDA</t>
  </si>
  <si>
    <t xml:space="preserve">  Margem EBITDA %</t>
  </si>
  <si>
    <t xml:space="preserve">  Depreciação e Amortização</t>
  </si>
  <si>
    <t xml:space="preserve">DRE original — sem fonte raw melhor</t>
  </si>
  <si>
    <t xml:space="preserve">(=) EBIT</t>
  </si>
  <si>
    <t xml:space="preserve">  Receitas Financeiras</t>
  </si>
  <si>
    <t xml:space="preserve">  Despesas Financeiras</t>
  </si>
  <si>
    <t xml:space="preserve">(=) Resultado Financeiro</t>
  </si>
  <si>
    <t xml:space="preserve">(=) Resultado Antes IR/CS</t>
  </si>
  <si>
    <t xml:space="preserve">  IR/CS</t>
  </si>
  <si>
    <t xml:space="preserve">(=) Resultado Líquido</t>
  </si>
  <si>
    <t xml:space="preserve">  Margem Líquida %</t>
  </si>
  <si>
    <t xml:space="preserve">CAIXA CORRIGIDO — NUVIO TECH (Q4 2025) — Fonte: Extrato_Limpo</t>
  </si>
  <si>
    <t xml:space="preserve">Média Mensal</t>
  </si>
  <si>
    <t xml:space="preserve">Caixa Original (Out)</t>
  </si>
  <si>
    <t xml:space="preserve">Saldo Inicial</t>
  </si>
  <si>
    <t xml:space="preserve">Saldo implícito derivado do extrato (antes de 01/Out/25). Caixa_Runway original usava R$3.200.000 (diferença: R$350k não explicada).</t>
  </si>
  <si>
    <t xml:space="preserve">(+) Entradas Operacionais</t>
  </si>
  <si>
    <t xml:space="preserve">Extrato: Valor&gt;0, Operacional=Sim</t>
  </si>
  <si>
    <t xml:space="preserve">(-) Saídas Operacionais</t>
  </si>
  <si>
    <t xml:space="preserve">Extrato: Valor&lt;0, Operacional=Sim</t>
  </si>
  <si>
    <t xml:space="preserve">(=) Fluxo Caixa Operacional</t>
  </si>
  <si>
    <t xml:space="preserve">(+) Aporte de Investidores</t>
  </si>
  <si>
    <t xml:space="preserve">Extrato: Categoria=Aporte de Investidor (não operacional)</t>
  </si>
  <si>
    <t xml:space="preserve">(+) Receitas Financeiras</t>
  </si>
  <si>
    <t xml:space="preserve">Extrato: Categoria=Receita Financeira</t>
  </si>
  <si>
    <t xml:space="preserve">(+) Estornos</t>
  </si>
  <si>
    <t xml:space="preserve">Extrato: Categoria=Estorno</t>
  </si>
  <si>
    <t xml:space="preserve">(info) Transferências Internas</t>
  </si>
  <si>
    <t xml:space="preserve">Informativo — não incluso no saldo final</t>
  </si>
  <si>
    <t xml:space="preserve">(=) Variação de Caixa</t>
  </si>
  <si>
    <t xml:space="preserve">(=) Saldo Final</t>
  </si>
  <si>
    <t xml:space="preserve">Burn Rate Mensal (Líquido)</t>
  </si>
  <si>
    <t xml:space="preserve">Negativo do Fluxo Oper. + Financeiro</t>
  </si>
  <si>
    <t xml:space="preserve">Runway (meses)</t>
  </si>
  <si>
    <t xml:space="preserve">Saldo Final / |Burn Rate|. N/A se burn≤0</t>
  </si>
  <si>
    <t xml:space="preserve">Vencimento</t>
  </si>
  <si>
    <t xml:space="preserve">Dias em Atraso</t>
  </si>
  <si>
    <t xml:space="preserve">Ação Recomendada</t>
  </si>
  <si>
    <t xml:space="preserve">Prioridade</t>
  </si>
  <si>
    <t xml:space="preserve">Recebido_no_Extrato</t>
  </si>
  <si>
    <t xml:space="preserve">AR</t>
  </si>
  <si>
    <t xml:space="preserve">NF 1038 - MRR Nov/25</t>
  </si>
  <si>
    <t xml:space="preserve">Vencida</t>
  </si>
  <si>
    <t xml:space="preserve">Cliente churnou, cobrança em aberto</t>
  </si>
  <si>
    <t xml:space="preserve">Acionar jurídico para cobrança — cliente churnou</t>
  </si>
  <si>
    <t xml:space="preserve">Alta</t>
  </si>
  <si>
    <t xml:space="preserve">NF 1055 - MRR Out/25</t>
  </si>
  <si>
    <t xml:space="preserve">Downgrade não refletido na NF</t>
  </si>
  <si>
    <t xml:space="preserve">Emitir NF corrigida (R$15k) e negociar diferença de R$3k</t>
  </si>
  <si>
    <t xml:space="preserve">NF 1048 - MRR Out/25</t>
  </si>
  <si>
    <t xml:space="preserve">NF emitida mas não enviada ao cliente</t>
  </si>
  <si>
    <t xml:space="preserve">Enviar NF imediatamente ao cliente</t>
  </si>
  <si>
    <t xml:space="preserve">NF 1042 - MRR Dez/25</t>
  </si>
  <si>
    <t xml:space="preserve">A Vencer</t>
  </si>
  <si>
    <t xml:space="preserve">Monitorar — a vencer, NF pendente há 3 meses</t>
  </si>
  <si>
    <t xml:space="preserve">Média</t>
  </si>
  <si>
    <t xml:space="preserve">NF 1060 - MRR Dez/25</t>
  </si>
  <si>
    <t xml:space="preserve">A vencer — acompanhar recebimento</t>
  </si>
  <si>
    <t xml:space="preserve">Baixa</t>
  </si>
  <si>
    <t xml:space="preserve">NF 1082 - MRR Nov/25</t>
  </si>
  <si>
    <t xml:space="preserve">Risco alto de churn</t>
  </si>
  <si>
    <t xml:space="preserve">Contato comercial urgente + cobrança</t>
  </si>
  <si>
    <t xml:space="preserve">NF 1051 - Setup</t>
  </si>
  <si>
    <t xml:space="preserve">Cobrança de setup nunca enviada</t>
  </si>
  <si>
    <t xml:space="preserve">Enviar cobrança de setup (nunca enviada)</t>
  </si>
  <si>
    <t xml:space="preserve">AP</t>
  </si>
  <si>
    <t xml:space="preserve">Infraestrutura Cloud - Dez/25</t>
  </si>
  <si>
    <t xml:space="preserve">Aumento de 17% vs Out</t>
  </si>
  <si>
    <t xml:space="preserve">Monitorar — aumento 17% vs Out, a vencer</t>
  </si>
  <si>
    <t xml:space="preserve">GCP - Dez/25</t>
  </si>
  <si>
    <t xml:space="preserve">A vencer — acompanhar fatura</t>
  </si>
  <si>
    <t xml:space="preserve">Aluguel Jan/26</t>
  </si>
  <si>
    <t xml:space="preserve">A vencer — pagamento normal</t>
  </si>
  <si>
    <t xml:space="preserve">Plano Saúde Equipe - Jan/26</t>
  </si>
  <si>
    <t xml:space="preserve">Desenvolvimento Feature X</t>
  </si>
  <si>
    <t xml:space="preserve">Sem contrato formal</t>
  </si>
  <si>
    <t xml:space="preserve">Regularizar contrato formal antes de pagar</t>
  </si>
  <si>
    <t xml:space="preserve">Design Sprint Q4</t>
  </si>
  <si>
    <t xml:space="preserve">NF não emitida pelo fornecedor</t>
  </si>
  <si>
    <t xml:space="preserve">Solicitar NF ao fornecedor antes de pagar</t>
  </si>
  <si>
    <t xml:space="preserve">Honorários Q4</t>
  </si>
  <si>
    <t xml:space="preserve">Cobrança contestada - valor diverge do contrato</t>
  </si>
  <si>
    <t xml:space="preserve">Revisar contrato e alinhar valor contestado</t>
  </si>
  <si>
    <t xml:space="preserve">Receita Federal</t>
  </si>
  <si>
    <t xml:space="preserve">DAS Simples - Dez/25</t>
  </si>
  <si>
    <t xml:space="preserve">A vencer — garantir pagamento em dia (DAS)</t>
  </si>
  <si>
    <t xml:space="preserve">Folha</t>
  </si>
  <si>
    <t xml:space="preserve">13o Salário - 2a parcela</t>
  </si>
  <si>
    <t xml:space="preserve">Paga</t>
  </si>
  <si>
    <t xml:space="preserve">Paga com 2 dias de atraso</t>
  </si>
  <si>
    <t xml:space="preserve">Pago com atraso — registrar ocorrência RH</t>
  </si>
  <si>
    <t xml:space="preserve">1. RECEITA REAL VS. REPORTADA (Q4 2025)</t>
  </si>
  <si>
    <t xml:space="preserve">DRE Original</t>
  </si>
  <si>
    <t xml:space="preserve">DRE Corrigida</t>
  </si>
  <si>
    <t xml:space="preserve">Diferença</t>
  </si>
  <si>
    <t xml:space="preserve">Ratio</t>
  </si>
  <si>
    <t xml:space="preserve">Receita Bruta Out/25</t>
  </si>
  <si>
    <t xml:space="preserve">Receita Bruta Nov/25</t>
  </si>
  <si>
    <t xml:space="preserve">Receita Bruta Dez/25</t>
  </si>
  <si>
    <t xml:space="preserve">Receita Bruta Q4</t>
  </si>
  <si>
    <t xml:space="preserve">2. SAÚDE DO CAIXA</t>
  </si>
  <si>
    <t xml:space="preserve">Saldo Inicial Out/25 (extrato)</t>
  </si>
  <si>
    <t xml:space="preserve">Saldo Final Dez/25 (extrato)</t>
  </si>
  <si>
    <t xml:space="preserve">Entradas Operacionais Q4</t>
  </si>
  <si>
    <t xml:space="preserve">Saídas Operacionais Q4</t>
  </si>
  <si>
    <t xml:space="preserve">Aporte Investidores Q4</t>
  </si>
  <si>
    <t xml:space="preserve">Burn Rate Médio Mensal</t>
  </si>
  <si>
    <t xml:space="preserve">Runway (Dez/25, meses)</t>
  </si>
  <si>
    <t xml:space="preserve">3. ALERTAS E FLAGS</t>
  </si>
  <si>
    <t xml:space="preserve">NFs Duplicadas (ERP)</t>
  </si>
  <si>
    <t xml:space="preserve">NFs com mesmo número em clientes diferentes</t>
  </si>
  <si>
    <t xml:space="preserve">Despesas sem Documento (ERP)</t>
  </si>
  <si>
    <t xml:space="preserve">Despesas sem NF ou comprovante</t>
  </si>
  <si>
    <t xml:space="preserve">Lançamentos com Competência Divergente</t>
  </si>
  <si>
    <t xml:space="preserve">Data competência ≠ mês de lançamento</t>
  </si>
  <si>
    <t xml:space="preserve">Lançamentos não Conciliados (ERP)</t>
  </si>
  <si>
    <t xml:space="preserve">Status Pendente + Divergente + Em Aberto</t>
  </si>
  <si>
    <t xml:space="preserve">AR Vencido (R$)</t>
  </si>
  <si>
    <t xml:space="preserve">Contas a receber vencidas</t>
  </si>
  <si>
    <t xml:space="preserve">AP Vencido (R$)</t>
  </si>
  <si>
    <t xml:space="preserve">Contas a pagar vencidas</t>
  </si>
  <si>
    <t xml:space="preserve">Clientes sem Recebimento no Extrato Q4</t>
  </si>
  <si>
    <t xml:space="preserve">Lambda Fin, Mu Analytics, Nu Robotics, Omicron Health, Pi Logistics, Rho Security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</si>
</sst>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#,##0.00"/>
    <numFmt numFmtId="167" formatCode="0.0%"/>
    <numFmt numFmtId="168" formatCode="0.0"/>
    <numFmt numFmtId="169" formatCode="0.0\x"/>
    <numFmt numFmtId="170" formatCode="0"/>
    <numFmt numFmtId="171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2FF"/>
        <bgColor rgb="FFF2F2F2"/>
      </patternFill>
    </fill>
    <fill>
      <patternFill patternType="solid">
        <fgColor rgb="FFFFEB9C"/>
        <bgColor rgb="FFFFCCCC"/>
      </patternFill>
    </fill>
    <fill>
      <patternFill patternType="solid">
        <fgColor rgb="FFFFCCCC"/>
        <bgColor rgb="FFFFEB9C"/>
      </patternFill>
    </fill>
    <fill>
      <patternFill patternType="solid">
        <fgColor rgb="FFF2F2F2"/>
        <bgColor rgb="FFEAF2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A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7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45931</v>
      </c>
      <c r="B2" s="3" t="s">
        <v>9</v>
      </c>
      <c r="C2" s="3" t="s">
        <v>10</v>
      </c>
      <c r="D2" s="4" t="n">
        <v>-16707.86</v>
      </c>
      <c r="E2" s="3"/>
      <c r="F2" s="3" t="s">
        <v>11</v>
      </c>
      <c r="G2" s="3" t="s">
        <v>12</v>
      </c>
      <c r="H2" s="3" t="s">
        <v>13</v>
      </c>
      <c r="I2" s="3" t="s">
        <v>14</v>
      </c>
    </row>
    <row r="3" customFormat="false" ht="15" hidden="false" customHeight="false" outlineLevel="0" collapsed="false">
      <c r="A3" s="5" t="n">
        <v>45931</v>
      </c>
      <c r="B3" s="0" t="s">
        <v>15</v>
      </c>
      <c r="C3" s="0" t="s">
        <v>16</v>
      </c>
      <c r="D3" s="6" t="n">
        <v>-13461.04</v>
      </c>
      <c r="E3" s="0" t="s">
        <v>17</v>
      </c>
      <c r="F3" s="0" t="s">
        <v>18</v>
      </c>
      <c r="G3" s="0" t="s">
        <v>19</v>
      </c>
      <c r="H3" s="0" t="s">
        <v>13</v>
      </c>
      <c r="I3" s="0" t="s">
        <v>14</v>
      </c>
    </row>
    <row r="4" customFormat="false" ht="15" hidden="false" customHeight="false" outlineLevel="0" collapsed="false">
      <c r="A4" s="2" t="n">
        <v>45932</v>
      </c>
      <c r="B4" s="3" t="s">
        <v>9</v>
      </c>
      <c r="C4" s="3" t="s">
        <v>20</v>
      </c>
      <c r="D4" s="4" t="n">
        <v>-41963.14</v>
      </c>
      <c r="E4" s="3"/>
      <c r="F4" s="3" t="s">
        <v>11</v>
      </c>
      <c r="G4" s="3" t="s">
        <v>12</v>
      </c>
      <c r="H4" s="3" t="s">
        <v>13</v>
      </c>
      <c r="I4" s="3" t="s">
        <v>14</v>
      </c>
    </row>
    <row r="5" customFormat="false" ht="15" hidden="false" customHeight="false" outlineLevel="0" collapsed="false">
      <c r="A5" s="5" t="n">
        <v>45933</v>
      </c>
      <c r="B5" s="0" t="s">
        <v>21</v>
      </c>
      <c r="C5" s="0" t="s">
        <v>20</v>
      </c>
      <c r="D5" s="6" t="n">
        <v>-59574.82</v>
      </c>
      <c r="E5" s="0" t="s">
        <v>22</v>
      </c>
      <c r="F5" s="0" t="s">
        <v>18</v>
      </c>
      <c r="G5" s="0" t="s">
        <v>23</v>
      </c>
      <c r="H5" s="0" t="s">
        <v>13</v>
      </c>
      <c r="I5" s="0" t="s">
        <v>14</v>
      </c>
    </row>
    <row r="6" customFormat="false" ht="15" hidden="false" customHeight="false" outlineLevel="0" collapsed="false">
      <c r="A6" s="2" t="n">
        <v>45934</v>
      </c>
      <c r="B6" s="3" t="s">
        <v>24</v>
      </c>
      <c r="C6" s="3" t="s">
        <v>20</v>
      </c>
      <c r="D6" s="4" t="n">
        <v>-12897.84</v>
      </c>
      <c r="E6" s="3"/>
      <c r="F6" s="3" t="s">
        <v>11</v>
      </c>
      <c r="G6" s="3" t="s">
        <v>25</v>
      </c>
      <c r="H6" s="3" t="s">
        <v>13</v>
      </c>
      <c r="I6" s="3" t="s">
        <v>14</v>
      </c>
    </row>
    <row r="7" customFormat="false" ht="15" hidden="false" customHeight="false" outlineLevel="0" collapsed="false">
      <c r="A7" s="5" t="n">
        <v>45934</v>
      </c>
      <c r="B7" s="0" t="s">
        <v>26</v>
      </c>
      <c r="C7" s="0" t="s">
        <v>27</v>
      </c>
      <c r="D7" s="6" t="n">
        <v>-30003.49</v>
      </c>
      <c r="F7" s="0" t="s">
        <v>18</v>
      </c>
      <c r="G7" s="0" t="s">
        <v>28</v>
      </c>
      <c r="H7" s="0" t="s">
        <v>13</v>
      </c>
      <c r="I7" s="0" t="s">
        <v>14</v>
      </c>
    </row>
    <row r="8" customFormat="false" ht="15" hidden="false" customHeight="false" outlineLevel="0" collapsed="false">
      <c r="A8" s="2" t="n">
        <v>45934</v>
      </c>
      <c r="B8" s="3" t="s">
        <v>15</v>
      </c>
      <c r="C8" s="3" t="s">
        <v>10</v>
      </c>
      <c r="D8" s="4" t="n">
        <v>-32085.34</v>
      </c>
      <c r="E8" s="3" t="s">
        <v>29</v>
      </c>
      <c r="F8" s="3" t="s">
        <v>30</v>
      </c>
      <c r="G8" s="3" t="s">
        <v>19</v>
      </c>
      <c r="H8" s="3" t="s">
        <v>13</v>
      </c>
      <c r="I8" s="3" t="s">
        <v>14</v>
      </c>
    </row>
    <row r="9" customFormat="false" ht="15" hidden="false" customHeight="false" outlineLevel="0" collapsed="false">
      <c r="A9" s="5" t="n">
        <v>45935</v>
      </c>
      <c r="B9" s="0" t="s">
        <v>24</v>
      </c>
      <c r="C9" s="0" t="s">
        <v>20</v>
      </c>
      <c r="D9" s="6" t="n">
        <v>-3445.39</v>
      </c>
      <c r="E9" s="0" t="s">
        <v>31</v>
      </c>
      <c r="F9" s="0" t="s">
        <v>11</v>
      </c>
      <c r="G9" s="0" t="s">
        <v>25</v>
      </c>
      <c r="H9" s="0" t="s">
        <v>13</v>
      </c>
      <c r="I9" s="0" t="s">
        <v>14</v>
      </c>
    </row>
    <row r="10" customFormat="false" ht="15" hidden="false" customHeight="false" outlineLevel="0" collapsed="false">
      <c r="A10" s="5" t="n">
        <v>45936</v>
      </c>
      <c r="B10" s="0" t="s">
        <v>32</v>
      </c>
      <c r="C10" s="0" t="s">
        <v>33</v>
      </c>
      <c r="D10" s="6" t="n">
        <v>2065.96</v>
      </c>
      <c r="E10" s="0" t="s">
        <v>34</v>
      </c>
      <c r="F10" s="0" t="s">
        <v>11</v>
      </c>
      <c r="G10" s="7" t="s">
        <v>35</v>
      </c>
      <c r="H10" s="0" t="s">
        <v>36</v>
      </c>
      <c r="I10" s="0" t="s">
        <v>14</v>
      </c>
    </row>
    <row r="11" customFormat="false" ht="15" hidden="false" customHeight="false" outlineLevel="0" collapsed="false">
      <c r="A11" s="5" t="n">
        <v>45937</v>
      </c>
      <c r="B11" s="0" t="s">
        <v>9</v>
      </c>
      <c r="C11" s="0" t="s">
        <v>37</v>
      </c>
      <c r="D11" s="6" t="n">
        <v>-43620.33</v>
      </c>
      <c r="E11" s="0" t="s">
        <v>38</v>
      </c>
      <c r="F11" s="0" t="s">
        <v>11</v>
      </c>
      <c r="G11" s="0" t="s">
        <v>12</v>
      </c>
      <c r="H11" s="0" t="s">
        <v>13</v>
      </c>
      <c r="I11" s="0" t="s">
        <v>14</v>
      </c>
    </row>
    <row r="12" customFormat="false" ht="15" hidden="false" customHeight="false" outlineLevel="0" collapsed="false">
      <c r="A12" s="2" t="n">
        <v>45937</v>
      </c>
      <c r="B12" s="3" t="s">
        <v>39</v>
      </c>
      <c r="C12" s="3" t="s">
        <v>27</v>
      </c>
      <c r="D12" s="4" t="n">
        <v>-7505.76</v>
      </c>
      <c r="E12" s="3" t="s">
        <v>40</v>
      </c>
      <c r="F12" s="3" t="s">
        <v>11</v>
      </c>
      <c r="G12" s="3" t="s">
        <v>41</v>
      </c>
      <c r="H12" s="3" t="s">
        <v>13</v>
      </c>
      <c r="I12" s="3" t="s">
        <v>14</v>
      </c>
    </row>
    <row r="13" customFormat="false" ht="15" hidden="false" customHeight="false" outlineLevel="0" collapsed="false">
      <c r="A13" s="5" t="n">
        <v>45937</v>
      </c>
      <c r="B13" s="0" t="s">
        <v>42</v>
      </c>
      <c r="C13" s="0" t="s">
        <v>16</v>
      </c>
      <c r="D13" s="6" t="n">
        <v>-5065.15</v>
      </c>
      <c r="F13" s="0" t="s">
        <v>11</v>
      </c>
      <c r="G13" s="0" t="s">
        <v>43</v>
      </c>
      <c r="H13" s="0" t="s">
        <v>13</v>
      </c>
      <c r="I13" s="0" t="s">
        <v>14</v>
      </c>
    </row>
    <row r="14" customFormat="false" ht="15" hidden="false" customHeight="false" outlineLevel="0" collapsed="false">
      <c r="A14" s="2" t="n">
        <v>45937</v>
      </c>
      <c r="B14" s="3" t="s">
        <v>44</v>
      </c>
      <c r="C14" s="3" t="s">
        <v>33</v>
      </c>
      <c r="D14" s="4" t="n">
        <v>352660.3</v>
      </c>
      <c r="E14" s="3" t="s">
        <v>45</v>
      </c>
      <c r="F14" s="3" t="s">
        <v>11</v>
      </c>
      <c r="G14" s="3" t="s">
        <v>46</v>
      </c>
      <c r="H14" s="3" t="s">
        <v>13</v>
      </c>
      <c r="I14" s="3" t="s">
        <v>14</v>
      </c>
    </row>
    <row r="15" customFormat="false" ht="15" hidden="false" customHeight="false" outlineLevel="0" collapsed="false">
      <c r="A15" s="5" t="n">
        <v>45938</v>
      </c>
      <c r="B15" s="0" t="s">
        <v>9</v>
      </c>
      <c r="C15" s="0" t="s">
        <v>27</v>
      </c>
      <c r="D15" s="6" t="n">
        <v>-15169.25</v>
      </c>
      <c r="F15" s="0" t="s">
        <v>11</v>
      </c>
      <c r="G15" s="0" t="s">
        <v>12</v>
      </c>
      <c r="H15" s="0" t="s">
        <v>13</v>
      </c>
      <c r="I15" s="0" t="s">
        <v>14</v>
      </c>
    </row>
    <row r="16" customFormat="false" ht="15" hidden="false" customHeight="false" outlineLevel="0" collapsed="false">
      <c r="A16" s="2" t="n">
        <v>45939</v>
      </c>
      <c r="B16" s="3" t="s">
        <v>21</v>
      </c>
      <c r="C16" s="3" t="s">
        <v>10</v>
      </c>
      <c r="D16" s="4" t="n">
        <v>-49226.53</v>
      </c>
      <c r="E16" s="3" t="s">
        <v>47</v>
      </c>
      <c r="F16" s="3" t="s">
        <v>11</v>
      </c>
      <c r="G16" s="3" t="s">
        <v>23</v>
      </c>
      <c r="H16" s="3" t="s">
        <v>13</v>
      </c>
      <c r="I16" s="3" t="s">
        <v>14</v>
      </c>
    </row>
    <row r="17" customFormat="false" ht="15" hidden="false" customHeight="false" outlineLevel="0" collapsed="false">
      <c r="A17" s="5" t="n">
        <v>45939</v>
      </c>
      <c r="B17" s="0" t="s">
        <v>48</v>
      </c>
      <c r="C17" s="0" t="s">
        <v>27</v>
      </c>
      <c r="D17" s="6" t="n">
        <v>-224061.2</v>
      </c>
      <c r="F17" s="0" t="s">
        <v>11</v>
      </c>
      <c r="G17" s="0" t="s">
        <v>49</v>
      </c>
      <c r="H17" s="0" t="s">
        <v>13</v>
      </c>
      <c r="I17" s="0" t="s">
        <v>14</v>
      </c>
    </row>
    <row r="18" customFormat="false" ht="15" hidden="false" customHeight="false" outlineLevel="0" collapsed="false">
      <c r="A18" s="2" t="n">
        <v>45940</v>
      </c>
      <c r="B18" s="3" t="s">
        <v>50</v>
      </c>
      <c r="C18" s="3" t="s">
        <v>27</v>
      </c>
      <c r="D18" s="4" t="n">
        <v>-29922.65</v>
      </c>
      <c r="E18" s="3" t="s">
        <v>51</v>
      </c>
      <c r="F18" s="3" t="s">
        <v>11</v>
      </c>
      <c r="G18" s="3" t="s">
        <v>52</v>
      </c>
      <c r="H18" s="3" t="s">
        <v>13</v>
      </c>
      <c r="I18" s="3" t="s">
        <v>14</v>
      </c>
    </row>
    <row r="19" customFormat="false" ht="15" hidden="false" customHeight="false" outlineLevel="0" collapsed="false">
      <c r="A19" s="5" t="n">
        <v>45941</v>
      </c>
      <c r="B19" s="0" t="s">
        <v>42</v>
      </c>
      <c r="C19" s="0" t="s">
        <v>10</v>
      </c>
      <c r="D19" s="6" t="n">
        <v>-34072.4</v>
      </c>
      <c r="F19" s="0" t="s">
        <v>11</v>
      </c>
      <c r="G19" s="0" t="s">
        <v>43</v>
      </c>
      <c r="H19" s="0" t="s">
        <v>13</v>
      </c>
      <c r="I19" s="0" t="s">
        <v>14</v>
      </c>
    </row>
    <row r="20" customFormat="false" ht="15" hidden="false" customHeight="false" outlineLevel="0" collapsed="false">
      <c r="A20" s="2" t="n">
        <v>45942</v>
      </c>
      <c r="B20" s="3" t="s">
        <v>50</v>
      </c>
      <c r="C20" s="3" t="s">
        <v>37</v>
      </c>
      <c r="D20" s="4" t="n">
        <v>-657.78</v>
      </c>
      <c r="E20" s="3" t="s">
        <v>53</v>
      </c>
      <c r="F20" s="3" t="s">
        <v>11</v>
      </c>
      <c r="G20" s="3" t="s">
        <v>52</v>
      </c>
      <c r="H20" s="3" t="s">
        <v>13</v>
      </c>
      <c r="I20" s="3" t="s">
        <v>14</v>
      </c>
    </row>
    <row r="21" customFormat="false" ht="15" hidden="false" customHeight="false" outlineLevel="0" collapsed="false">
      <c r="A21" s="5" t="n">
        <v>45942</v>
      </c>
      <c r="B21" s="0" t="s">
        <v>54</v>
      </c>
      <c r="C21" s="0" t="s">
        <v>55</v>
      </c>
      <c r="D21" s="6" t="n">
        <v>-294218.66</v>
      </c>
      <c r="F21" s="0" t="s">
        <v>11</v>
      </c>
      <c r="G21" s="7" t="s">
        <v>55</v>
      </c>
      <c r="H21" s="0" t="s">
        <v>36</v>
      </c>
      <c r="I21" s="0" t="s">
        <v>14</v>
      </c>
    </row>
    <row r="22" customFormat="false" ht="15" hidden="false" customHeight="false" outlineLevel="0" collapsed="false">
      <c r="A22" s="2" t="n">
        <v>45942</v>
      </c>
      <c r="B22" s="3" t="s">
        <v>48</v>
      </c>
      <c r="C22" s="3" t="s">
        <v>16</v>
      </c>
      <c r="D22" s="4" t="n">
        <v>-186759.51</v>
      </c>
      <c r="E22" s="3" t="s">
        <v>56</v>
      </c>
      <c r="F22" s="3" t="s">
        <v>30</v>
      </c>
      <c r="G22" s="3" t="s">
        <v>49</v>
      </c>
      <c r="H22" s="3" t="s">
        <v>13</v>
      </c>
      <c r="I22" s="3" t="s">
        <v>14</v>
      </c>
    </row>
    <row r="23" customFormat="false" ht="15" hidden="false" customHeight="false" outlineLevel="0" collapsed="false">
      <c r="A23" s="5" t="n">
        <v>45943</v>
      </c>
      <c r="B23" s="0" t="s">
        <v>57</v>
      </c>
      <c r="C23" s="0" t="s">
        <v>20</v>
      </c>
      <c r="D23" s="6" t="n">
        <v>-7738.11</v>
      </c>
      <c r="E23" s="0" t="s">
        <v>58</v>
      </c>
      <c r="F23" s="0" t="s">
        <v>11</v>
      </c>
      <c r="G23" s="0" t="s">
        <v>52</v>
      </c>
      <c r="H23" s="0" t="s">
        <v>13</v>
      </c>
      <c r="I23" s="0" t="s">
        <v>14</v>
      </c>
    </row>
    <row r="24" customFormat="false" ht="15" hidden="false" customHeight="false" outlineLevel="0" collapsed="false">
      <c r="A24" s="2" t="n">
        <v>45944</v>
      </c>
      <c r="B24" s="3" t="s">
        <v>59</v>
      </c>
      <c r="C24" s="3" t="s">
        <v>27</v>
      </c>
      <c r="D24" s="4" t="n">
        <v>-36345.99</v>
      </c>
      <c r="E24" s="3" t="s">
        <v>60</v>
      </c>
      <c r="F24" s="3" t="s">
        <v>11</v>
      </c>
      <c r="G24" s="3" t="s">
        <v>61</v>
      </c>
      <c r="H24" s="3" t="s">
        <v>13</v>
      </c>
      <c r="I24" s="3" t="s">
        <v>14</v>
      </c>
    </row>
    <row r="25" customFormat="false" ht="15" hidden="false" customHeight="false" outlineLevel="0" collapsed="false">
      <c r="A25" s="5" t="n">
        <v>45944</v>
      </c>
      <c r="B25" s="0" t="s">
        <v>32</v>
      </c>
      <c r="C25" s="0" t="s">
        <v>62</v>
      </c>
      <c r="D25" s="6" t="n">
        <v>4969.31</v>
      </c>
      <c r="E25" s="0" t="s">
        <v>63</v>
      </c>
      <c r="F25" s="0" t="s">
        <v>18</v>
      </c>
      <c r="G25" s="7" t="s">
        <v>35</v>
      </c>
      <c r="H25" s="0" t="s">
        <v>36</v>
      </c>
      <c r="I25" s="0" t="s">
        <v>14</v>
      </c>
    </row>
    <row r="26" customFormat="false" ht="15" hidden="false" customHeight="false" outlineLevel="0" collapsed="false">
      <c r="A26" s="2" t="n">
        <v>45945</v>
      </c>
      <c r="B26" s="3" t="s">
        <v>59</v>
      </c>
      <c r="C26" s="3" t="s">
        <v>10</v>
      </c>
      <c r="D26" s="4" t="n">
        <v>-3077.67</v>
      </c>
      <c r="E26" s="3" t="s">
        <v>64</v>
      </c>
      <c r="F26" s="3" t="s">
        <v>11</v>
      </c>
      <c r="G26" s="3" t="s">
        <v>61</v>
      </c>
      <c r="H26" s="3" t="s">
        <v>13</v>
      </c>
      <c r="I26" s="3" t="s">
        <v>14</v>
      </c>
    </row>
    <row r="27" customFormat="false" ht="15" hidden="false" customHeight="false" outlineLevel="0" collapsed="false">
      <c r="A27" s="5" t="n">
        <v>45945</v>
      </c>
      <c r="B27" s="0" t="s">
        <v>48</v>
      </c>
      <c r="C27" s="0" t="s">
        <v>10</v>
      </c>
      <c r="D27" s="6" t="n">
        <v>-232790.6</v>
      </c>
      <c r="E27" s="0" t="s">
        <v>65</v>
      </c>
      <c r="F27" s="0" t="s">
        <v>18</v>
      </c>
      <c r="G27" s="0" t="s">
        <v>49</v>
      </c>
      <c r="H27" s="0" t="s">
        <v>13</v>
      </c>
      <c r="I27" s="0" t="s">
        <v>14</v>
      </c>
    </row>
    <row r="28" customFormat="false" ht="15" hidden="false" customHeight="false" outlineLevel="0" collapsed="false">
      <c r="A28" s="2" t="n">
        <v>45945</v>
      </c>
      <c r="B28" s="3" t="s">
        <v>66</v>
      </c>
      <c r="C28" s="3" t="s">
        <v>62</v>
      </c>
      <c r="D28" s="4" t="n">
        <v>258366.36</v>
      </c>
      <c r="E28" s="3" t="s">
        <v>67</v>
      </c>
      <c r="F28" s="3" t="s">
        <v>11</v>
      </c>
      <c r="G28" s="3" t="s">
        <v>46</v>
      </c>
      <c r="H28" s="3" t="s">
        <v>13</v>
      </c>
      <c r="I28" s="3" t="s">
        <v>14</v>
      </c>
    </row>
    <row r="29" customFormat="false" ht="15" hidden="false" customHeight="false" outlineLevel="0" collapsed="false">
      <c r="A29" s="5" t="n">
        <v>45947</v>
      </c>
      <c r="B29" s="0" t="s">
        <v>68</v>
      </c>
      <c r="C29" s="0" t="s">
        <v>69</v>
      </c>
      <c r="D29" s="6" t="n">
        <v>728.83</v>
      </c>
      <c r="E29" s="0" t="s">
        <v>70</v>
      </c>
      <c r="F29" s="0" t="s">
        <v>18</v>
      </c>
      <c r="G29" s="7" t="s">
        <v>69</v>
      </c>
      <c r="H29" s="0" t="s">
        <v>36</v>
      </c>
      <c r="I29" s="0" t="s">
        <v>14</v>
      </c>
    </row>
    <row r="30" customFormat="false" ht="15" hidden="false" customHeight="false" outlineLevel="0" collapsed="false">
      <c r="A30" s="2" t="n">
        <v>45947</v>
      </c>
      <c r="B30" s="3" t="s">
        <v>71</v>
      </c>
      <c r="C30" s="3" t="s">
        <v>72</v>
      </c>
      <c r="D30" s="4" t="n">
        <v>209278.73</v>
      </c>
      <c r="E30" s="3" t="s">
        <v>73</v>
      </c>
      <c r="F30" s="3" t="s">
        <v>30</v>
      </c>
      <c r="G30" s="3" t="s">
        <v>46</v>
      </c>
      <c r="H30" s="3" t="s">
        <v>13</v>
      </c>
      <c r="I30" s="3" t="s">
        <v>14</v>
      </c>
    </row>
    <row r="31" customFormat="false" ht="15" hidden="false" customHeight="false" outlineLevel="0" collapsed="false">
      <c r="A31" s="5" t="n">
        <v>45948</v>
      </c>
      <c r="B31" s="0" t="s">
        <v>21</v>
      </c>
      <c r="C31" s="0" t="s">
        <v>27</v>
      </c>
      <c r="D31" s="6" t="n">
        <v>-84273.55</v>
      </c>
      <c r="E31" s="0" t="s">
        <v>74</v>
      </c>
      <c r="F31" s="0" t="s">
        <v>30</v>
      </c>
      <c r="G31" s="0" t="s">
        <v>23</v>
      </c>
      <c r="H31" s="0" t="s">
        <v>13</v>
      </c>
      <c r="I31" s="0" t="s">
        <v>14</v>
      </c>
    </row>
    <row r="32" customFormat="false" ht="15" hidden="false" customHeight="false" outlineLevel="0" collapsed="false">
      <c r="A32" s="2" t="n">
        <v>45948</v>
      </c>
      <c r="B32" s="3" t="s">
        <v>75</v>
      </c>
      <c r="C32" s="3" t="s">
        <v>72</v>
      </c>
      <c r="D32" s="4" t="n">
        <v>59760.39</v>
      </c>
      <c r="E32" s="3" t="s">
        <v>76</v>
      </c>
      <c r="F32" s="3" t="s">
        <v>18</v>
      </c>
      <c r="G32" s="3" t="s">
        <v>25</v>
      </c>
      <c r="H32" s="3" t="s">
        <v>13</v>
      </c>
      <c r="I32" s="3" t="s">
        <v>14</v>
      </c>
    </row>
    <row r="33" customFormat="false" ht="15" hidden="false" customHeight="false" outlineLevel="0" collapsed="false">
      <c r="A33" s="5" t="n">
        <v>45948</v>
      </c>
      <c r="B33" s="0" t="s">
        <v>77</v>
      </c>
      <c r="C33" s="0" t="s">
        <v>37</v>
      </c>
      <c r="D33" s="6" t="n">
        <v>-12076.96</v>
      </c>
      <c r="E33" s="0" t="s">
        <v>78</v>
      </c>
      <c r="F33" s="0" t="s">
        <v>11</v>
      </c>
      <c r="G33" s="0" t="s">
        <v>52</v>
      </c>
      <c r="H33" s="0" t="s">
        <v>13</v>
      </c>
      <c r="I33" s="0" t="s">
        <v>14</v>
      </c>
    </row>
    <row r="34" customFormat="false" ht="15" hidden="false" customHeight="false" outlineLevel="0" collapsed="false">
      <c r="A34" s="2" t="n">
        <v>45948</v>
      </c>
      <c r="B34" s="3" t="s">
        <v>44</v>
      </c>
      <c r="C34" s="3" t="s">
        <v>62</v>
      </c>
      <c r="D34" s="4" t="n">
        <v>378460.55</v>
      </c>
      <c r="E34" s="3"/>
      <c r="F34" s="3" t="s">
        <v>11</v>
      </c>
      <c r="G34" s="3" t="s">
        <v>46</v>
      </c>
      <c r="H34" s="3" t="s">
        <v>13</v>
      </c>
      <c r="I34" s="3" t="s">
        <v>14</v>
      </c>
    </row>
    <row r="35" customFormat="false" ht="15" hidden="false" customHeight="false" outlineLevel="0" collapsed="false">
      <c r="A35" s="5" t="n">
        <v>45950</v>
      </c>
      <c r="B35" s="0" t="s">
        <v>79</v>
      </c>
      <c r="C35" s="0" t="s">
        <v>33</v>
      </c>
      <c r="D35" s="6" t="n">
        <v>220930.15</v>
      </c>
      <c r="E35" s="0" t="s">
        <v>80</v>
      </c>
      <c r="F35" s="0" t="s">
        <v>11</v>
      </c>
      <c r="G35" s="0" t="s">
        <v>46</v>
      </c>
      <c r="H35" s="0" t="s">
        <v>13</v>
      </c>
      <c r="I35" s="0" t="s">
        <v>14</v>
      </c>
    </row>
    <row r="36" customFormat="false" ht="15" hidden="false" customHeight="false" outlineLevel="0" collapsed="false">
      <c r="A36" s="2" t="n">
        <v>45951</v>
      </c>
      <c r="B36" s="3" t="s">
        <v>9</v>
      </c>
      <c r="C36" s="3" t="s">
        <v>16</v>
      </c>
      <c r="D36" s="4" t="n">
        <v>-25460.36</v>
      </c>
      <c r="E36" s="3"/>
      <c r="F36" s="3" t="s">
        <v>11</v>
      </c>
      <c r="G36" s="3" t="s">
        <v>12</v>
      </c>
      <c r="H36" s="3" t="s">
        <v>13</v>
      </c>
      <c r="I36" s="3" t="s">
        <v>14</v>
      </c>
    </row>
    <row r="37" customFormat="false" ht="15" hidden="false" customHeight="false" outlineLevel="0" collapsed="false">
      <c r="A37" s="5" t="n">
        <v>45952</v>
      </c>
      <c r="B37" s="0" t="s">
        <v>59</v>
      </c>
      <c r="C37" s="0" t="s">
        <v>27</v>
      </c>
      <c r="D37" s="6" t="n">
        <v>-30041.5</v>
      </c>
      <c r="E37" s="0" t="s">
        <v>81</v>
      </c>
      <c r="F37" s="0" t="s">
        <v>11</v>
      </c>
      <c r="G37" s="0" t="s">
        <v>61</v>
      </c>
      <c r="H37" s="0" t="s">
        <v>13</v>
      </c>
      <c r="I37" s="0" t="s">
        <v>14</v>
      </c>
    </row>
    <row r="38" customFormat="false" ht="15" hidden="false" customHeight="false" outlineLevel="0" collapsed="false">
      <c r="A38" s="2" t="n">
        <v>45952</v>
      </c>
      <c r="B38" s="3" t="s">
        <v>82</v>
      </c>
      <c r="C38" s="3" t="s">
        <v>10</v>
      </c>
      <c r="D38" s="4" t="n">
        <v>-17788.32</v>
      </c>
      <c r="E38" s="3"/>
      <c r="F38" s="3" t="s">
        <v>11</v>
      </c>
      <c r="G38" s="3" t="s">
        <v>83</v>
      </c>
      <c r="H38" s="3" t="s">
        <v>13</v>
      </c>
      <c r="I38" s="3" t="s">
        <v>14</v>
      </c>
    </row>
    <row r="39" customFormat="false" ht="15" hidden="false" customHeight="false" outlineLevel="0" collapsed="false">
      <c r="A39" s="5" t="n">
        <v>45952</v>
      </c>
      <c r="B39" s="0" t="s">
        <v>21</v>
      </c>
      <c r="C39" s="0" t="s">
        <v>37</v>
      </c>
      <c r="D39" s="6" t="n">
        <v>-44462.48</v>
      </c>
      <c r="F39" s="0" t="s">
        <v>11</v>
      </c>
      <c r="G39" s="0" t="s">
        <v>23</v>
      </c>
      <c r="H39" s="0" t="s">
        <v>13</v>
      </c>
      <c r="I39" s="0" t="s">
        <v>14</v>
      </c>
    </row>
    <row r="40" customFormat="false" ht="15" hidden="false" customHeight="false" outlineLevel="0" collapsed="false">
      <c r="A40" s="2" t="n">
        <v>45953</v>
      </c>
      <c r="B40" s="3" t="s">
        <v>82</v>
      </c>
      <c r="C40" s="3" t="s">
        <v>20</v>
      </c>
      <c r="D40" s="4" t="n">
        <v>-17050.02</v>
      </c>
      <c r="E40" s="3" t="s">
        <v>84</v>
      </c>
      <c r="F40" s="3" t="s">
        <v>11</v>
      </c>
      <c r="G40" s="3" t="s">
        <v>83</v>
      </c>
      <c r="H40" s="3" t="s">
        <v>13</v>
      </c>
      <c r="I40" s="3" t="s">
        <v>14</v>
      </c>
    </row>
    <row r="41" customFormat="false" ht="15" hidden="false" customHeight="false" outlineLevel="0" collapsed="false">
      <c r="A41" s="5" t="n">
        <v>45953</v>
      </c>
      <c r="B41" s="0" t="s">
        <v>21</v>
      </c>
      <c r="C41" s="0" t="s">
        <v>10</v>
      </c>
      <c r="D41" s="6" t="n">
        <v>-69193.87</v>
      </c>
      <c r="E41" s="0" t="s">
        <v>85</v>
      </c>
      <c r="F41" s="0" t="s">
        <v>11</v>
      </c>
      <c r="G41" s="0" t="s">
        <v>23</v>
      </c>
      <c r="H41" s="0" t="s">
        <v>13</v>
      </c>
      <c r="I41" s="0" t="s">
        <v>14</v>
      </c>
    </row>
    <row r="42" customFormat="false" ht="15" hidden="false" customHeight="false" outlineLevel="0" collapsed="false">
      <c r="A42" s="2" t="n">
        <v>45953</v>
      </c>
      <c r="B42" s="3" t="s">
        <v>50</v>
      </c>
      <c r="C42" s="3" t="s">
        <v>37</v>
      </c>
      <c r="D42" s="4" t="n">
        <v>-5323.91</v>
      </c>
      <c r="E42" s="3" t="s">
        <v>86</v>
      </c>
      <c r="F42" s="3" t="s">
        <v>18</v>
      </c>
      <c r="G42" s="3" t="s">
        <v>52</v>
      </c>
      <c r="H42" s="3" t="s">
        <v>13</v>
      </c>
      <c r="I42" s="3" t="s">
        <v>14</v>
      </c>
    </row>
    <row r="43" customFormat="false" ht="15" hidden="false" customHeight="false" outlineLevel="0" collapsed="false">
      <c r="A43" s="5" t="n">
        <v>45953</v>
      </c>
      <c r="B43" s="0" t="s">
        <v>54</v>
      </c>
      <c r="C43" s="0" t="s">
        <v>55</v>
      </c>
      <c r="D43" s="6" t="n">
        <v>-223182.47</v>
      </c>
      <c r="E43" s="0" t="s">
        <v>87</v>
      </c>
      <c r="F43" s="0" t="s">
        <v>18</v>
      </c>
      <c r="G43" s="7" t="s">
        <v>55</v>
      </c>
      <c r="H43" s="0" t="s">
        <v>36</v>
      </c>
      <c r="I43" s="0" t="s">
        <v>14</v>
      </c>
    </row>
    <row r="44" customFormat="false" ht="15" hidden="false" customHeight="false" outlineLevel="0" collapsed="false">
      <c r="A44" s="2" t="n">
        <v>45953</v>
      </c>
      <c r="B44" s="3" t="s">
        <v>88</v>
      </c>
      <c r="C44" s="3" t="s">
        <v>62</v>
      </c>
      <c r="D44" s="4" t="n">
        <v>236250.52</v>
      </c>
      <c r="E44" s="3" t="s">
        <v>89</v>
      </c>
      <c r="F44" s="3" t="s">
        <v>11</v>
      </c>
      <c r="G44" s="3" t="s">
        <v>46</v>
      </c>
      <c r="H44" s="3" t="s">
        <v>13</v>
      </c>
      <c r="I44" s="3" t="s">
        <v>14</v>
      </c>
    </row>
    <row r="45" customFormat="false" ht="15" hidden="false" customHeight="false" outlineLevel="0" collapsed="false">
      <c r="A45" s="5" t="n">
        <v>45954</v>
      </c>
      <c r="B45" s="0" t="s">
        <v>79</v>
      </c>
      <c r="C45" s="0" t="s">
        <v>33</v>
      </c>
      <c r="D45" s="6" t="n">
        <v>169503.42</v>
      </c>
      <c r="E45" s="0" t="s">
        <v>90</v>
      </c>
      <c r="F45" s="0" t="s">
        <v>11</v>
      </c>
      <c r="G45" s="0" t="s">
        <v>46</v>
      </c>
      <c r="H45" s="0" t="s">
        <v>13</v>
      </c>
      <c r="I45" s="0" t="s">
        <v>14</v>
      </c>
    </row>
    <row r="46" customFormat="false" ht="15" hidden="false" customHeight="false" outlineLevel="0" collapsed="false">
      <c r="A46" s="5" t="n">
        <v>45954</v>
      </c>
      <c r="B46" s="0" t="s">
        <v>68</v>
      </c>
      <c r="C46" s="0" t="s">
        <v>69</v>
      </c>
      <c r="D46" s="6" t="n">
        <v>5589.84</v>
      </c>
      <c r="E46" s="0" t="s">
        <v>91</v>
      </c>
      <c r="F46" s="0" t="s">
        <v>30</v>
      </c>
      <c r="G46" s="7" t="s">
        <v>69</v>
      </c>
      <c r="H46" s="0" t="s">
        <v>36</v>
      </c>
      <c r="I46" s="0" t="s">
        <v>14</v>
      </c>
    </row>
    <row r="47" customFormat="false" ht="15" hidden="false" customHeight="false" outlineLevel="0" collapsed="false">
      <c r="A47" s="5" t="n">
        <v>45958</v>
      </c>
      <c r="B47" s="0" t="s">
        <v>32</v>
      </c>
      <c r="C47" s="0" t="s">
        <v>33</v>
      </c>
      <c r="D47" s="6" t="n">
        <v>3807.28</v>
      </c>
      <c r="E47" s="0" t="s">
        <v>92</v>
      </c>
      <c r="F47" s="0" t="s">
        <v>11</v>
      </c>
      <c r="G47" s="7" t="s">
        <v>35</v>
      </c>
      <c r="H47" s="0" t="s">
        <v>36</v>
      </c>
      <c r="I47" s="0" t="s">
        <v>14</v>
      </c>
    </row>
    <row r="48" customFormat="false" ht="15" hidden="false" customHeight="false" outlineLevel="0" collapsed="false">
      <c r="A48" s="2" t="n">
        <v>45958</v>
      </c>
      <c r="B48" s="3" t="s">
        <v>24</v>
      </c>
      <c r="C48" s="3" t="s">
        <v>16</v>
      </c>
      <c r="D48" s="4" t="n">
        <v>-6857.79</v>
      </c>
      <c r="E48" s="3"/>
      <c r="F48" s="3" t="s">
        <v>30</v>
      </c>
      <c r="G48" s="3" t="s">
        <v>25</v>
      </c>
      <c r="H48" s="3" t="s">
        <v>13</v>
      </c>
      <c r="I48" s="3" t="s">
        <v>14</v>
      </c>
    </row>
    <row r="49" customFormat="false" ht="15" hidden="false" customHeight="false" outlineLevel="0" collapsed="false">
      <c r="A49" s="5" t="n">
        <v>45958</v>
      </c>
      <c r="B49" s="0" t="s">
        <v>93</v>
      </c>
      <c r="C49" s="0" t="s">
        <v>20</v>
      </c>
      <c r="D49" s="6" t="n">
        <v>-34959.4</v>
      </c>
      <c r="E49" s="0" t="s">
        <v>94</v>
      </c>
      <c r="F49" s="0" t="s">
        <v>11</v>
      </c>
      <c r="G49" s="0" t="s">
        <v>41</v>
      </c>
      <c r="H49" s="0" t="s">
        <v>13</v>
      </c>
      <c r="I49" s="0" t="s">
        <v>14</v>
      </c>
    </row>
    <row r="50" customFormat="false" ht="15" hidden="false" customHeight="false" outlineLevel="0" collapsed="false">
      <c r="A50" s="2" t="n">
        <v>45958</v>
      </c>
      <c r="B50" s="3" t="s">
        <v>93</v>
      </c>
      <c r="C50" s="3" t="s">
        <v>16</v>
      </c>
      <c r="D50" s="4" t="n">
        <v>-15582.46</v>
      </c>
      <c r="E50" s="3" t="s">
        <v>95</v>
      </c>
      <c r="F50" s="3" t="s">
        <v>11</v>
      </c>
      <c r="G50" s="3" t="s">
        <v>41</v>
      </c>
      <c r="H50" s="3" t="s">
        <v>13</v>
      </c>
      <c r="I50" s="3" t="s">
        <v>14</v>
      </c>
    </row>
    <row r="51" customFormat="false" ht="15" hidden="false" customHeight="false" outlineLevel="0" collapsed="false">
      <c r="A51" s="5" t="n">
        <v>45959</v>
      </c>
      <c r="B51" s="0" t="s">
        <v>44</v>
      </c>
      <c r="C51" s="0" t="s">
        <v>72</v>
      </c>
      <c r="D51" s="6" t="n">
        <v>211382.34</v>
      </c>
      <c r="E51" s="0" t="s">
        <v>96</v>
      </c>
      <c r="F51" s="0" t="s">
        <v>11</v>
      </c>
      <c r="G51" s="0" t="s">
        <v>46</v>
      </c>
      <c r="H51" s="0" t="s">
        <v>13</v>
      </c>
      <c r="I51" s="0" t="s">
        <v>14</v>
      </c>
    </row>
    <row r="52" customFormat="false" ht="15" hidden="false" customHeight="false" outlineLevel="0" collapsed="false">
      <c r="A52" s="2" t="n">
        <v>45959</v>
      </c>
      <c r="B52" s="3" t="s">
        <v>97</v>
      </c>
      <c r="C52" s="3" t="s">
        <v>62</v>
      </c>
      <c r="D52" s="4" t="n">
        <v>134170.88</v>
      </c>
      <c r="E52" s="3" t="s">
        <v>98</v>
      </c>
      <c r="F52" s="3" t="s">
        <v>11</v>
      </c>
      <c r="G52" s="3" t="s">
        <v>28</v>
      </c>
      <c r="H52" s="3" t="s">
        <v>13</v>
      </c>
      <c r="I52" s="3" t="s">
        <v>14</v>
      </c>
    </row>
    <row r="53" customFormat="false" ht="15" hidden="false" customHeight="false" outlineLevel="0" collapsed="false">
      <c r="A53" s="5" t="n">
        <v>45959</v>
      </c>
      <c r="B53" s="0" t="s">
        <v>99</v>
      </c>
      <c r="C53" s="0" t="s">
        <v>72</v>
      </c>
      <c r="D53" s="6" t="n">
        <v>177599.86</v>
      </c>
      <c r="E53" s="0" t="s">
        <v>100</v>
      </c>
      <c r="F53" s="0" t="s">
        <v>18</v>
      </c>
      <c r="G53" s="0" t="s">
        <v>46</v>
      </c>
      <c r="H53" s="0" t="s">
        <v>13</v>
      </c>
      <c r="I53" s="0" t="s">
        <v>14</v>
      </c>
    </row>
    <row r="54" customFormat="false" ht="15" hidden="false" customHeight="false" outlineLevel="0" collapsed="false">
      <c r="A54" s="2" t="n">
        <v>45960</v>
      </c>
      <c r="B54" s="3" t="s">
        <v>101</v>
      </c>
      <c r="C54" s="3" t="s">
        <v>37</v>
      </c>
      <c r="D54" s="4" t="n">
        <v>-34336.45</v>
      </c>
      <c r="E54" s="3" t="s">
        <v>102</v>
      </c>
      <c r="F54" s="3" t="s">
        <v>18</v>
      </c>
      <c r="G54" s="3" t="s">
        <v>52</v>
      </c>
      <c r="H54" s="3" t="s">
        <v>13</v>
      </c>
      <c r="I54" s="3" t="s">
        <v>14</v>
      </c>
    </row>
    <row r="55" customFormat="false" ht="15" hidden="false" customHeight="false" outlineLevel="0" collapsed="false">
      <c r="A55" s="5" t="n">
        <v>45960</v>
      </c>
      <c r="B55" s="0" t="s">
        <v>50</v>
      </c>
      <c r="C55" s="0" t="s">
        <v>16</v>
      </c>
      <c r="D55" s="6" t="n">
        <v>-11862.04</v>
      </c>
      <c r="F55" s="0" t="s">
        <v>18</v>
      </c>
      <c r="G55" s="0" t="s">
        <v>52</v>
      </c>
      <c r="H55" s="0" t="s">
        <v>13</v>
      </c>
      <c r="I55" s="0" t="s">
        <v>14</v>
      </c>
    </row>
    <row r="56" customFormat="false" ht="15" hidden="false" customHeight="false" outlineLevel="0" collapsed="false">
      <c r="A56" s="2" t="n">
        <v>45961</v>
      </c>
      <c r="B56" s="3" t="s">
        <v>103</v>
      </c>
      <c r="C56" s="3" t="s">
        <v>33</v>
      </c>
      <c r="D56" s="4" t="n">
        <v>205830.43</v>
      </c>
      <c r="E56" s="3" t="s">
        <v>104</v>
      </c>
      <c r="F56" s="3" t="s">
        <v>30</v>
      </c>
      <c r="G56" s="3" t="s">
        <v>46</v>
      </c>
      <c r="H56" s="3" t="s">
        <v>13</v>
      </c>
      <c r="I56" s="3" t="s">
        <v>14</v>
      </c>
    </row>
    <row r="57" customFormat="false" ht="15" hidden="false" customHeight="false" outlineLevel="0" collapsed="false">
      <c r="A57" s="5" t="n">
        <v>45961</v>
      </c>
      <c r="B57" s="0" t="s">
        <v>71</v>
      </c>
      <c r="C57" s="0" t="s">
        <v>33</v>
      </c>
      <c r="D57" s="6" t="n">
        <v>215180.5</v>
      </c>
      <c r="E57" s="0" t="s">
        <v>105</v>
      </c>
      <c r="F57" s="0" t="s">
        <v>11</v>
      </c>
      <c r="G57" s="0" t="s">
        <v>46</v>
      </c>
      <c r="H57" s="0" t="s">
        <v>13</v>
      </c>
      <c r="I57" s="0" t="s">
        <v>14</v>
      </c>
    </row>
    <row r="58" customFormat="false" ht="15" hidden="false" customHeight="false" outlineLevel="0" collapsed="false">
      <c r="A58" s="2" t="n">
        <v>45962</v>
      </c>
      <c r="B58" s="3" t="s">
        <v>99</v>
      </c>
      <c r="C58" s="3" t="s">
        <v>33</v>
      </c>
      <c r="D58" s="4" t="n">
        <v>339425.41</v>
      </c>
      <c r="E58" s="3" t="s">
        <v>106</v>
      </c>
      <c r="F58" s="3" t="s">
        <v>18</v>
      </c>
      <c r="G58" s="3" t="s">
        <v>46</v>
      </c>
      <c r="H58" s="3" t="s">
        <v>13</v>
      </c>
      <c r="I58" s="3" t="s">
        <v>107</v>
      </c>
    </row>
    <row r="59" customFormat="false" ht="15" hidden="false" customHeight="false" outlineLevel="0" collapsed="false">
      <c r="A59" s="5" t="n">
        <v>45962</v>
      </c>
      <c r="B59" s="0" t="s">
        <v>42</v>
      </c>
      <c r="C59" s="0" t="s">
        <v>16</v>
      </c>
      <c r="D59" s="6" t="n">
        <v>-8982.16</v>
      </c>
      <c r="E59" s="0" t="s">
        <v>108</v>
      </c>
      <c r="F59" s="0" t="s">
        <v>11</v>
      </c>
      <c r="G59" s="0" t="s">
        <v>43</v>
      </c>
      <c r="H59" s="0" t="s">
        <v>13</v>
      </c>
      <c r="I59" s="0" t="s">
        <v>107</v>
      </c>
    </row>
    <row r="60" customFormat="false" ht="15" hidden="false" customHeight="false" outlineLevel="0" collapsed="false">
      <c r="A60" s="2" t="n">
        <v>45962</v>
      </c>
      <c r="B60" s="3" t="s">
        <v>26</v>
      </c>
      <c r="C60" s="3" t="s">
        <v>10</v>
      </c>
      <c r="D60" s="4" t="n">
        <v>-3553.15</v>
      </c>
      <c r="E60" s="3" t="s">
        <v>109</v>
      </c>
      <c r="F60" s="3" t="s">
        <v>30</v>
      </c>
      <c r="G60" s="3" t="s">
        <v>28</v>
      </c>
      <c r="H60" s="3" t="s">
        <v>13</v>
      </c>
      <c r="I60" s="3" t="s">
        <v>107</v>
      </c>
    </row>
    <row r="61" customFormat="false" ht="15" hidden="false" customHeight="false" outlineLevel="0" collapsed="false">
      <c r="A61" s="5" t="n">
        <v>45963</v>
      </c>
      <c r="B61" s="0" t="s">
        <v>21</v>
      </c>
      <c r="C61" s="0" t="s">
        <v>10</v>
      </c>
      <c r="D61" s="6" t="n">
        <v>-62694.89</v>
      </c>
      <c r="E61" s="0" t="s">
        <v>110</v>
      </c>
      <c r="F61" s="0" t="s">
        <v>11</v>
      </c>
      <c r="G61" s="0" t="s">
        <v>23</v>
      </c>
      <c r="H61" s="0" t="s">
        <v>13</v>
      </c>
      <c r="I61" s="0" t="s">
        <v>107</v>
      </c>
    </row>
    <row r="62" customFormat="false" ht="15" hidden="false" customHeight="false" outlineLevel="0" collapsed="false">
      <c r="A62" s="2" t="n">
        <v>45964</v>
      </c>
      <c r="B62" s="3" t="s">
        <v>15</v>
      </c>
      <c r="C62" s="3" t="s">
        <v>16</v>
      </c>
      <c r="D62" s="4" t="n">
        <v>-43414.15</v>
      </c>
      <c r="E62" s="3" t="s">
        <v>111</v>
      </c>
      <c r="F62" s="3" t="s">
        <v>11</v>
      </c>
      <c r="G62" s="3" t="s">
        <v>19</v>
      </c>
      <c r="H62" s="3" t="s">
        <v>13</v>
      </c>
      <c r="I62" s="3" t="s">
        <v>107</v>
      </c>
    </row>
    <row r="63" customFormat="false" ht="15" hidden="false" customHeight="false" outlineLevel="0" collapsed="false">
      <c r="A63" s="5" t="n">
        <v>45964</v>
      </c>
      <c r="B63" s="0" t="s">
        <v>57</v>
      </c>
      <c r="C63" s="0" t="s">
        <v>20</v>
      </c>
      <c r="D63" s="6" t="n">
        <v>-19323.83</v>
      </c>
      <c r="E63" s="0" t="s">
        <v>112</v>
      </c>
      <c r="F63" s="0" t="s">
        <v>18</v>
      </c>
      <c r="G63" s="0" t="s">
        <v>52</v>
      </c>
      <c r="H63" s="0" t="s">
        <v>13</v>
      </c>
      <c r="I63" s="0" t="s">
        <v>107</v>
      </c>
    </row>
    <row r="64" customFormat="false" ht="15" hidden="false" customHeight="false" outlineLevel="0" collapsed="false">
      <c r="A64" s="2" t="n">
        <v>45964</v>
      </c>
      <c r="B64" s="3" t="s">
        <v>99</v>
      </c>
      <c r="C64" s="3" t="s">
        <v>62</v>
      </c>
      <c r="D64" s="4" t="n">
        <v>92223.29</v>
      </c>
      <c r="E64" s="3" t="s">
        <v>113</v>
      </c>
      <c r="F64" s="3" t="s">
        <v>11</v>
      </c>
      <c r="G64" s="3" t="s">
        <v>46</v>
      </c>
      <c r="H64" s="3" t="s">
        <v>13</v>
      </c>
      <c r="I64" s="3" t="s">
        <v>107</v>
      </c>
    </row>
    <row r="65" customFormat="false" ht="15" hidden="false" customHeight="false" outlineLevel="0" collapsed="false">
      <c r="A65" s="5" t="n">
        <v>45964</v>
      </c>
      <c r="B65" s="0" t="s">
        <v>66</v>
      </c>
      <c r="C65" s="0" t="s">
        <v>72</v>
      </c>
      <c r="D65" s="6" t="n">
        <v>211118.54</v>
      </c>
      <c r="E65" s="0" t="s">
        <v>114</v>
      </c>
      <c r="F65" s="0" t="s">
        <v>11</v>
      </c>
      <c r="G65" s="0" t="s">
        <v>46</v>
      </c>
      <c r="H65" s="0" t="s">
        <v>13</v>
      </c>
      <c r="I65" s="0" t="s">
        <v>107</v>
      </c>
    </row>
    <row r="66" customFormat="false" ht="15" hidden="false" customHeight="false" outlineLevel="0" collapsed="false">
      <c r="A66" s="5" t="n">
        <v>45964</v>
      </c>
      <c r="B66" s="0" t="s">
        <v>54</v>
      </c>
      <c r="C66" s="0" t="s">
        <v>55</v>
      </c>
      <c r="D66" s="6" t="n">
        <v>-253162.74</v>
      </c>
      <c r="E66" s="0" t="s">
        <v>115</v>
      </c>
      <c r="F66" s="0" t="s">
        <v>11</v>
      </c>
      <c r="G66" s="7" t="s">
        <v>55</v>
      </c>
      <c r="H66" s="0" t="s">
        <v>36</v>
      </c>
      <c r="I66" s="0" t="s">
        <v>107</v>
      </c>
    </row>
    <row r="67" customFormat="false" ht="15" hidden="false" customHeight="false" outlineLevel="0" collapsed="false">
      <c r="A67" s="5" t="n">
        <v>45965</v>
      </c>
      <c r="B67" s="0" t="s">
        <v>99</v>
      </c>
      <c r="C67" s="0" t="s">
        <v>33</v>
      </c>
      <c r="D67" s="6" t="n">
        <v>146600.77</v>
      </c>
      <c r="F67" s="0" t="s">
        <v>18</v>
      </c>
      <c r="G67" s="0" t="s">
        <v>46</v>
      </c>
      <c r="H67" s="0" t="s">
        <v>13</v>
      </c>
      <c r="I67" s="0" t="s">
        <v>107</v>
      </c>
    </row>
    <row r="68" customFormat="false" ht="15" hidden="false" customHeight="false" outlineLevel="0" collapsed="false">
      <c r="A68" s="2" t="n">
        <v>45965</v>
      </c>
      <c r="B68" s="3" t="s">
        <v>116</v>
      </c>
      <c r="C68" s="3" t="s">
        <v>16</v>
      </c>
      <c r="D68" s="4" t="n">
        <v>-4079.66</v>
      </c>
      <c r="E68" s="3"/>
      <c r="F68" s="3" t="s">
        <v>18</v>
      </c>
      <c r="G68" s="3" t="s">
        <v>52</v>
      </c>
      <c r="H68" s="3" t="s">
        <v>13</v>
      </c>
      <c r="I68" s="3" t="s">
        <v>107</v>
      </c>
    </row>
    <row r="69" customFormat="false" ht="15" hidden="false" customHeight="false" outlineLevel="0" collapsed="false">
      <c r="A69" s="5" t="n">
        <v>45965</v>
      </c>
      <c r="B69" s="0" t="s">
        <v>101</v>
      </c>
      <c r="C69" s="0" t="s">
        <v>16</v>
      </c>
      <c r="D69" s="6" t="n">
        <v>-27514.88</v>
      </c>
      <c r="E69" s="0" t="s">
        <v>117</v>
      </c>
      <c r="F69" s="0" t="s">
        <v>30</v>
      </c>
      <c r="G69" s="0" t="s">
        <v>52</v>
      </c>
      <c r="H69" s="0" t="s">
        <v>13</v>
      </c>
      <c r="I69" s="0" t="s">
        <v>107</v>
      </c>
    </row>
    <row r="70" customFormat="false" ht="15" hidden="false" customHeight="false" outlineLevel="0" collapsed="false">
      <c r="A70" s="2" t="n">
        <v>45966</v>
      </c>
      <c r="B70" s="3" t="s">
        <v>59</v>
      </c>
      <c r="C70" s="3" t="s">
        <v>10</v>
      </c>
      <c r="D70" s="4" t="n">
        <v>-12591.32</v>
      </c>
      <c r="E70" s="3" t="s">
        <v>118</v>
      </c>
      <c r="F70" s="3" t="s">
        <v>11</v>
      </c>
      <c r="G70" s="3" t="s">
        <v>61</v>
      </c>
      <c r="H70" s="3" t="s">
        <v>13</v>
      </c>
      <c r="I70" s="3" t="s">
        <v>107</v>
      </c>
    </row>
    <row r="71" customFormat="false" ht="15" hidden="false" customHeight="false" outlineLevel="0" collapsed="false">
      <c r="A71" s="5" t="n">
        <v>45966</v>
      </c>
      <c r="B71" s="0" t="s">
        <v>101</v>
      </c>
      <c r="C71" s="0" t="s">
        <v>20</v>
      </c>
      <c r="D71" s="6" t="n">
        <v>-42074.05</v>
      </c>
      <c r="E71" s="0" t="s">
        <v>119</v>
      </c>
      <c r="F71" s="0" t="s">
        <v>11</v>
      </c>
      <c r="G71" s="0" t="s">
        <v>52</v>
      </c>
      <c r="H71" s="0" t="s">
        <v>13</v>
      </c>
      <c r="I71" s="0" t="s">
        <v>107</v>
      </c>
    </row>
    <row r="72" customFormat="false" ht="15" hidden="false" customHeight="false" outlineLevel="0" collapsed="false">
      <c r="A72" s="2" t="n">
        <v>45966</v>
      </c>
      <c r="B72" s="3" t="s">
        <v>88</v>
      </c>
      <c r="C72" s="3" t="s">
        <v>72</v>
      </c>
      <c r="D72" s="4" t="n">
        <v>296201.79</v>
      </c>
      <c r="E72" s="3" t="s">
        <v>120</v>
      </c>
      <c r="F72" s="3" t="s">
        <v>18</v>
      </c>
      <c r="G72" s="3" t="s">
        <v>46</v>
      </c>
      <c r="H72" s="3" t="s">
        <v>13</v>
      </c>
      <c r="I72" s="3" t="s">
        <v>107</v>
      </c>
    </row>
    <row r="73" customFormat="false" ht="15" hidden="false" customHeight="false" outlineLevel="0" collapsed="false">
      <c r="A73" s="5" t="n">
        <v>45966</v>
      </c>
      <c r="B73" s="0" t="s">
        <v>121</v>
      </c>
      <c r="C73" s="0" t="s">
        <v>33</v>
      </c>
      <c r="D73" s="6" t="n">
        <v>169598.81</v>
      </c>
      <c r="E73" s="0" t="s">
        <v>122</v>
      </c>
      <c r="F73" s="0" t="s">
        <v>11</v>
      </c>
      <c r="G73" s="0" t="s">
        <v>46</v>
      </c>
      <c r="H73" s="0" t="s">
        <v>13</v>
      </c>
      <c r="I73" s="0" t="s">
        <v>107</v>
      </c>
    </row>
    <row r="74" customFormat="false" ht="15" hidden="false" customHeight="false" outlineLevel="0" collapsed="false">
      <c r="A74" s="2" t="n">
        <v>45966</v>
      </c>
      <c r="B74" s="3" t="s">
        <v>42</v>
      </c>
      <c r="C74" s="3" t="s">
        <v>10</v>
      </c>
      <c r="D74" s="4" t="n">
        <v>-24539.59</v>
      </c>
      <c r="E74" s="3" t="s">
        <v>123</v>
      </c>
      <c r="F74" s="3" t="s">
        <v>11</v>
      </c>
      <c r="G74" s="3" t="s">
        <v>43</v>
      </c>
      <c r="H74" s="3" t="s">
        <v>13</v>
      </c>
      <c r="I74" s="3" t="s">
        <v>107</v>
      </c>
    </row>
    <row r="75" customFormat="false" ht="15" hidden="false" customHeight="false" outlineLevel="0" collapsed="false">
      <c r="A75" s="5" t="n">
        <v>45967</v>
      </c>
      <c r="B75" s="0" t="s">
        <v>88</v>
      </c>
      <c r="C75" s="0" t="s">
        <v>72</v>
      </c>
      <c r="D75" s="6" t="n">
        <v>267938.09</v>
      </c>
      <c r="E75" s="0" t="s">
        <v>124</v>
      </c>
      <c r="F75" s="0" t="s">
        <v>30</v>
      </c>
      <c r="G75" s="0" t="s">
        <v>46</v>
      </c>
      <c r="H75" s="0" t="s">
        <v>13</v>
      </c>
      <c r="I75" s="0" t="s">
        <v>107</v>
      </c>
    </row>
    <row r="76" customFormat="false" ht="15" hidden="false" customHeight="false" outlineLevel="0" collapsed="false">
      <c r="A76" s="2" t="n">
        <v>45967</v>
      </c>
      <c r="B76" s="3" t="s">
        <v>77</v>
      </c>
      <c r="C76" s="3" t="s">
        <v>37</v>
      </c>
      <c r="D76" s="4" t="n">
        <v>-20156.98</v>
      </c>
      <c r="E76" s="3" t="s">
        <v>125</v>
      </c>
      <c r="F76" s="3" t="s">
        <v>11</v>
      </c>
      <c r="G76" s="3" t="s">
        <v>52</v>
      </c>
      <c r="H76" s="3" t="s">
        <v>13</v>
      </c>
      <c r="I76" s="3" t="s">
        <v>107</v>
      </c>
    </row>
    <row r="77" customFormat="false" ht="15" hidden="false" customHeight="false" outlineLevel="0" collapsed="false">
      <c r="A77" s="5" t="n">
        <v>45967</v>
      </c>
      <c r="B77" s="0" t="s">
        <v>93</v>
      </c>
      <c r="C77" s="0" t="s">
        <v>27</v>
      </c>
      <c r="D77" s="6" t="n">
        <v>-36185.97</v>
      </c>
      <c r="E77" s="0" t="s">
        <v>126</v>
      </c>
      <c r="F77" s="0" t="s">
        <v>30</v>
      </c>
      <c r="G77" s="0" t="s">
        <v>41</v>
      </c>
      <c r="H77" s="0" t="s">
        <v>13</v>
      </c>
      <c r="I77" s="0" t="s">
        <v>107</v>
      </c>
    </row>
    <row r="78" customFormat="false" ht="15" hidden="false" customHeight="false" outlineLevel="0" collapsed="false">
      <c r="A78" s="2" t="n">
        <v>45968</v>
      </c>
      <c r="B78" s="3" t="s">
        <v>57</v>
      </c>
      <c r="C78" s="3" t="s">
        <v>37</v>
      </c>
      <c r="D78" s="4" t="n">
        <v>-42944.81</v>
      </c>
      <c r="E78" s="3" t="s">
        <v>127</v>
      </c>
      <c r="F78" s="3" t="s">
        <v>30</v>
      </c>
      <c r="G78" s="3" t="s">
        <v>52</v>
      </c>
      <c r="H78" s="3" t="s">
        <v>13</v>
      </c>
      <c r="I78" s="3" t="s">
        <v>107</v>
      </c>
    </row>
    <row r="79" customFormat="false" ht="15" hidden="false" customHeight="false" outlineLevel="0" collapsed="false">
      <c r="A79" s="5" t="n">
        <v>45968</v>
      </c>
      <c r="B79" s="0" t="s">
        <v>128</v>
      </c>
      <c r="C79" s="0" t="s">
        <v>62</v>
      </c>
      <c r="D79" s="6" t="n">
        <v>7348.08</v>
      </c>
      <c r="E79" s="0" t="s">
        <v>129</v>
      </c>
      <c r="F79" s="0" t="s">
        <v>11</v>
      </c>
      <c r="G79" s="0" t="s">
        <v>46</v>
      </c>
      <c r="H79" s="0" t="s">
        <v>13</v>
      </c>
      <c r="I79" s="0" t="s">
        <v>107</v>
      </c>
    </row>
    <row r="80" customFormat="false" ht="15" hidden="false" customHeight="false" outlineLevel="0" collapsed="false">
      <c r="A80" s="2" t="n">
        <v>45968</v>
      </c>
      <c r="B80" s="3" t="s">
        <v>15</v>
      </c>
      <c r="C80" s="3" t="s">
        <v>16</v>
      </c>
      <c r="D80" s="4" t="n">
        <v>-4913.44</v>
      </c>
      <c r="E80" s="3" t="s">
        <v>130</v>
      </c>
      <c r="F80" s="3" t="s">
        <v>30</v>
      </c>
      <c r="G80" s="3" t="s">
        <v>19</v>
      </c>
      <c r="H80" s="3" t="s">
        <v>13</v>
      </c>
      <c r="I80" s="3" t="s">
        <v>107</v>
      </c>
    </row>
    <row r="81" customFormat="false" ht="15" hidden="false" customHeight="false" outlineLevel="0" collapsed="false">
      <c r="A81" s="5" t="n">
        <v>45969</v>
      </c>
      <c r="B81" s="0" t="s">
        <v>26</v>
      </c>
      <c r="C81" s="0" t="s">
        <v>16</v>
      </c>
      <c r="D81" s="6" t="n">
        <v>-39004.1</v>
      </c>
      <c r="E81" s="0" t="s">
        <v>131</v>
      </c>
      <c r="F81" s="0" t="s">
        <v>11</v>
      </c>
      <c r="G81" s="0" t="s">
        <v>28</v>
      </c>
      <c r="H81" s="0" t="s">
        <v>13</v>
      </c>
      <c r="I81" s="0" t="s">
        <v>107</v>
      </c>
    </row>
    <row r="82" customFormat="false" ht="15" hidden="false" customHeight="false" outlineLevel="0" collapsed="false">
      <c r="A82" s="2" t="n">
        <v>45969</v>
      </c>
      <c r="B82" s="3" t="s">
        <v>21</v>
      </c>
      <c r="C82" s="3" t="s">
        <v>37</v>
      </c>
      <c r="D82" s="4" t="n">
        <v>-84915.21</v>
      </c>
      <c r="E82" s="3" t="s">
        <v>132</v>
      </c>
      <c r="F82" s="3" t="s">
        <v>11</v>
      </c>
      <c r="G82" s="3" t="s">
        <v>23</v>
      </c>
      <c r="H82" s="3" t="s">
        <v>13</v>
      </c>
      <c r="I82" s="3" t="s">
        <v>107</v>
      </c>
    </row>
    <row r="83" customFormat="false" ht="15" hidden="false" customHeight="false" outlineLevel="0" collapsed="false">
      <c r="A83" s="5" t="n">
        <v>45970</v>
      </c>
      <c r="B83" s="0" t="s">
        <v>24</v>
      </c>
      <c r="C83" s="0" t="s">
        <v>16</v>
      </c>
      <c r="D83" s="6" t="n">
        <v>-42395.44</v>
      </c>
      <c r="E83" s="0" t="s">
        <v>133</v>
      </c>
      <c r="F83" s="0" t="s">
        <v>11</v>
      </c>
      <c r="G83" s="0" t="s">
        <v>25</v>
      </c>
      <c r="H83" s="0" t="s">
        <v>13</v>
      </c>
      <c r="I83" s="0" t="s">
        <v>107</v>
      </c>
    </row>
    <row r="84" customFormat="false" ht="15" hidden="false" customHeight="false" outlineLevel="0" collapsed="false">
      <c r="A84" s="2" t="n">
        <v>45970</v>
      </c>
      <c r="B84" s="3" t="s">
        <v>134</v>
      </c>
      <c r="C84" s="3" t="s">
        <v>27</v>
      </c>
      <c r="D84" s="4" t="n">
        <v>-82606.53</v>
      </c>
      <c r="E84" s="3"/>
      <c r="F84" s="3" t="s">
        <v>11</v>
      </c>
      <c r="G84" s="3" t="s">
        <v>23</v>
      </c>
      <c r="H84" s="3" t="s">
        <v>13</v>
      </c>
      <c r="I84" s="3" t="s">
        <v>107</v>
      </c>
    </row>
    <row r="85" customFormat="false" ht="15" hidden="false" customHeight="false" outlineLevel="0" collapsed="false">
      <c r="A85" s="5" t="n">
        <v>45970</v>
      </c>
      <c r="B85" s="0" t="s">
        <v>26</v>
      </c>
      <c r="C85" s="0" t="s">
        <v>20</v>
      </c>
      <c r="D85" s="6" t="n">
        <v>-20042.33</v>
      </c>
      <c r="E85" s="0" t="s">
        <v>135</v>
      </c>
      <c r="F85" s="0" t="s">
        <v>18</v>
      </c>
      <c r="G85" s="0" t="s">
        <v>28</v>
      </c>
      <c r="H85" s="0" t="s">
        <v>13</v>
      </c>
      <c r="I85" s="0" t="s">
        <v>107</v>
      </c>
    </row>
    <row r="86" customFormat="false" ht="15" hidden="false" customHeight="false" outlineLevel="0" collapsed="false">
      <c r="A86" s="2" t="n">
        <v>45970</v>
      </c>
      <c r="B86" s="3" t="s">
        <v>134</v>
      </c>
      <c r="C86" s="3" t="s">
        <v>27</v>
      </c>
      <c r="D86" s="4" t="n">
        <v>-46891.67</v>
      </c>
      <c r="E86" s="3"/>
      <c r="F86" s="3" t="s">
        <v>11</v>
      </c>
      <c r="G86" s="3" t="s">
        <v>23</v>
      </c>
      <c r="H86" s="3" t="s">
        <v>13</v>
      </c>
      <c r="I86" s="3" t="s">
        <v>107</v>
      </c>
    </row>
    <row r="87" customFormat="false" ht="15" hidden="false" customHeight="false" outlineLevel="0" collapsed="false">
      <c r="A87" s="5" t="n">
        <v>45971</v>
      </c>
      <c r="B87" s="0" t="s">
        <v>44</v>
      </c>
      <c r="C87" s="0" t="s">
        <v>72</v>
      </c>
      <c r="D87" s="6" t="n">
        <v>71986.64</v>
      </c>
      <c r="E87" s="0" t="s">
        <v>136</v>
      </c>
      <c r="F87" s="0" t="s">
        <v>11</v>
      </c>
      <c r="G87" s="0" t="s">
        <v>46</v>
      </c>
      <c r="H87" s="0" t="s">
        <v>13</v>
      </c>
      <c r="I87" s="0" t="s">
        <v>107</v>
      </c>
    </row>
    <row r="88" customFormat="false" ht="15" hidden="false" customHeight="false" outlineLevel="0" collapsed="false">
      <c r="A88" s="2" t="n">
        <v>45971</v>
      </c>
      <c r="B88" s="3" t="s">
        <v>66</v>
      </c>
      <c r="C88" s="3" t="s">
        <v>62</v>
      </c>
      <c r="D88" s="4" t="n">
        <v>328936.2</v>
      </c>
      <c r="E88" s="3" t="s">
        <v>137</v>
      </c>
      <c r="F88" s="3" t="s">
        <v>30</v>
      </c>
      <c r="G88" s="3" t="s">
        <v>46</v>
      </c>
      <c r="H88" s="3" t="s">
        <v>13</v>
      </c>
      <c r="I88" s="3" t="s">
        <v>107</v>
      </c>
    </row>
    <row r="89" customFormat="false" ht="15" hidden="false" customHeight="false" outlineLevel="0" collapsed="false">
      <c r="A89" s="5" t="n">
        <v>45971</v>
      </c>
      <c r="B89" s="0" t="s">
        <v>21</v>
      </c>
      <c r="C89" s="0" t="s">
        <v>20</v>
      </c>
      <c r="D89" s="6" t="n">
        <v>-47458.06</v>
      </c>
      <c r="E89" s="0" t="s">
        <v>138</v>
      </c>
      <c r="F89" s="0" t="s">
        <v>11</v>
      </c>
      <c r="G89" s="0" t="s">
        <v>23</v>
      </c>
      <c r="H89" s="0" t="s">
        <v>13</v>
      </c>
      <c r="I89" s="0" t="s">
        <v>107</v>
      </c>
    </row>
    <row r="90" customFormat="false" ht="15" hidden="false" customHeight="false" outlineLevel="0" collapsed="false">
      <c r="A90" s="2" t="n">
        <v>45972</v>
      </c>
      <c r="B90" s="3" t="s">
        <v>59</v>
      </c>
      <c r="C90" s="3" t="s">
        <v>27</v>
      </c>
      <c r="D90" s="4" t="n">
        <v>-6164.31</v>
      </c>
      <c r="E90" s="3" t="s">
        <v>139</v>
      </c>
      <c r="F90" s="3" t="s">
        <v>11</v>
      </c>
      <c r="G90" s="3" t="s">
        <v>61</v>
      </c>
      <c r="H90" s="3" t="s">
        <v>13</v>
      </c>
      <c r="I90" s="3" t="s">
        <v>107</v>
      </c>
    </row>
    <row r="91" customFormat="false" ht="15" hidden="false" customHeight="false" outlineLevel="0" collapsed="false">
      <c r="A91" s="5" t="n">
        <v>45972</v>
      </c>
      <c r="B91" s="0" t="s">
        <v>79</v>
      </c>
      <c r="C91" s="0" t="s">
        <v>62</v>
      </c>
      <c r="D91" s="6" t="n">
        <v>303580.63</v>
      </c>
      <c r="E91" s="0" t="s">
        <v>140</v>
      </c>
      <c r="F91" s="0" t="s">
        <v>11</v>
      </c>
      <c r="G91" s="0" t="s">
        <v>46</v>
      </c>
      <c r="H91" s="0" t="s">
        <v>13</v>
      </c>
      <c r="I91" s="0" t="s">
        <v>107</v>
      </c>
    </row>
    <row r="92" customFormat="false" ht="15" hidden="false" customHeight="false" outlineLevel="0" collapsed="false">
      <c r="A92" s="2" t="n">
        <v>45972</v>
      </c>
      <c r="B92" s="3" t="s">
        <v>21</v>
      </c>
      <c r="C92" s="3" t="s">
        <v>37</v>
      </c>
      <c r="D92" s="4" t="n">
        <v>-38735.46</v>
      </c>
      <c r="E92" s="3" t="s">
        <v>141</v>
      </c>
      <c r="F92" s="3" t="s">
        <v>30</v>
      </c>
      <c r="G92" s="3" t="s">
        <v>23</v>
      </c>
      <c r="H92" s="3" t="s">
        <v>13</v>
      </c>
      <c r="I92" s="3" t="s">
        <v>107</v>
      </c>
    </row>
    <row r="93" customFormat="false" ht="15" hidden="false" customHeight="false" outlineLevel="0" collapsed="false">
      <c r="A93" s="5" t="n">
        <v>45972</v>
      </c>
      <c r="B93" s="0" t="s">
        <v>77</v>
      </c>
      <c r="C93" s="0" t="s">
        <v>10</v>
      </c>
      <c r="D93" s="6" t="n">
        <v>-6381.11</v>
      </c>
      <c r="E93" s="0" t="s">
        <v>142</v>
      </c>
      <c r="F93" s="0" t="s">
        <v>30</v>
      </c>
      <c r="G93" s="0" t="s">
        <v>52</v>
      </c>
      <c r="H93" s="0" t="s">
        <v>13</v>
      </c>
      <c r="I93" s="0" t="s">
        <v>107</v>
      </c>
    </row>
    <row r="94" customFormat="false" ht="15" hidden="false" customHeight="false" outlineLevel="0" collapsed="false">
      <c r="A94" s="2" t="n">
        <v>45973</v>
      </c>
      <c r="B94" s="3" t="s">
        <v>101</v>
      </c>
      <c r="C94" s="3" t="s">
        <v>37</v>
      </c>
      <c r="D94" s="4" t="n">
        <v>-9704.13</v>
      </c>
      <c r="E94" s="3" t="s">
        <v>143</v>
      </c>
      <c r="F94" s="3" t="s">
        <v>11</v>
      </c>
      <c r="G94" s="3" t="s">
        <v>52</v>
      </c>
      <c r="H94" s="3" t="s">
        <v>13</v>
      </c>
      <c r="I94" s="3" t="s">
        <v>107</v>
      </c>
    </row>
    <row r="95" customFormat="false" ht="15" hidden="false" customHeight="false" outlineLevel="0" collapsed="false">
      <c r="A95" s="5" t="n">
        <v>45973</v>
      </c>
      <c r="B95" s="0" t="s">
        <v>9</v>
      </c>
      <c r="C95" s="0" t="s">
        <v>16</v>
      </c>
      <c r="D95" s="6" t="n">
        <v>-20762.84</v>
      </c>
      <c r="E95" s="0" t="s">
        <v>144</v>
      </c>
      <c r="F95" s="0" t="s">
        <v>11</v>
      </c>
      <c r="G95" s="0" t="s">
        <v>12</v>
      </c>
      <c r="H95" s="0" t="s">
        <v>13</v>
      </c>
      <c r="I95" s="0" t="s">
        <v>107</v>
      </c>
    </row>
    <row r="96" customFormat="false" ht="15" hidden="false" customHeight="false" outlineLevel="0" collapsed="false">
      <c r="A96" s="2" t="n">
        <v>45974</v>
      </c>
      <c r="B96" s="3" t="s">
        <v>75</v>
      </c>
      <c r="C96" s="3" t="s">
        <v>33</v>
      </c>
      <c r="D96" s="4" t="n">
        <v>137694.21</v>
      </c>
      <c r="E96" s="3" t="s">
        <v>145</v>
      </c>
      <c r="F96" s="3" t="s">
        <v>11</v>
      </c>
      <c r="G96" s="3" t="s">
        <v>25</v>
      </c>
      <c r="H96" s="3" t="s">
        <v>13</v>
      </c>
      <c r="I96" s="3" t="s">
        <v>107</v>
      </c>
    </row>
    <row r="97" customFormat="false" ht="15" hidden="false" customHeight="false" outlineLevel="0" collapsed="false">
      <c r="A97" s="5" t="n">
        <v>45974</v>
      </c>
      <c r="B97" s="0" t="s">
        <v>24</v>
      </c>
      <c r="C97" s="0" t="s">
        <v>10</v>
      </c>
      <c r="D97" s="6" t="n">
        <v>-37902.5</v>
      </c>
      <c r="E97" s="0" t="s">
        <v>146</v>
      </c>
      <c r="F97" s="0" t="s">
        <v>30</v>
      </c>
      <c r="G97" s="0" t="s">
        <v>25</v>
      </c>
      <c r="H97" s="0" t="s">
        <v>13</v>
      </c>
      <c r="I97" s="0" t="s">
        <v>107</v>
      </c>
    </row>
    <row r="98" customFormat="false" ht="15" hidden="false" customHeight="false" outlineLevel="0" collapsed="false">
      <c r="A98" s="2" t="n">
        <v>45974</v>
      </c>
      <c r="B98" s="3" t="s">
        <v>24</v>
      </c>
      <c r="C98" s="3" t="s">
        <v>20</v>
      </c>
      <c r="D98" s="4" t="n">
        <v>-33964.44</v>
      </c>
      <c r="E98" s="3" t="s">
        <v>147</v>
      </c>
      <c r="F98" s="3" t="s">
        <v>11</v>
      </c>
      <c r="G98" s="3" t="s">
        <v>25</v>
      </c>
      <c r="H98" s="3" t="s">
        <v>13</v>
      </c>
      <c r="I98" s="3" t="s">
        <v>107</v>
      </c>
    </row>
    <row r="99" customFormat="false" ht="15" hidden="false" customHeight="false" outlineLevel="0" collapsed="false">
      <c r="A99" s="5" t="n">
        <v>45975</v>
      </c>
      <c r="B99" s="0" t="s">
        <v>24</v>
      </c>
      <c r="C99" s="0" t="s">
        <v>27</v>
      </c>
      <c r="D99" s="6" t="n">
        <v>-15236.17</v>
      </c>
      <c r="F99" s="0" t="s">
        <v>11</v>
      </c>
      <c r="G99" s="0" t="s">
        <v>25</v>
      </c>
      <c r="H99" s="0" t="s">
        <v>13</v>
      </c>
      <c r="I99" s="0" t="s">
        <v>107</v>
      </c>
    </row>
    <row r="100" customFormat="false" ht="15" hidden="false" customHeight="false" outlineLevel="0" collapsed="false">
      <c r="A100" s="2" t="n">
        <v>45975</v>
      </c>
      <c r="B100" s="3" t="s">
        <v>21</v>
      </c>
      <c r="C100" s="3" t="s">
        <v>20</v>
      </c>
      <c r="D100" s="4" t="n">
        <v>-29137.4</v>
      </c>
      <c r="E100" s="3" t="s">
        <v>148</v>
      </c>
      <c r="F100" s="3" t="s">
        <v>18</v>
      </c>
      <c r="G100" s="3" t="s">
        <v>23</v>
      </c>
      <c r="H100" s="3" t="s">
        <v>13</v>
      </c>
      <c r="I100" s="3" t="s">
        <v>107</v>
      </c>
    </row>
    <row r="101" customFormat="false" ht="15" hidden="false" customHeight="false" outlineLevel="0" collapsed="false">
      <c r="A101" s="5" t="n">
        <v>45976</v>
      </c>
      <c r="B101" s="0" t="s">
        <v>57</v>
      </c>
      <c r="C101" s="0" t="s">
        <v>37</v>
      </c>
      <c r="D101" s="6" t="n">
        <v>-30464.72</v>
      </c>
      <c r="E101" s="0" t="s">
        <v>149</v>
      </c>
      <c r="F101" s="0" t="s">
        <v>11</v>
      </c>
      <c r="G101" s="0" t="s">
        <v>52</v>
      </c>
      <c r="H101" s="0" t="s">
        <v>13</v>
      </c>
      <c r="I101" s="0" t="s">
        <v>107</v>
      </c>
    </row>
    <row r="102" customFormat="false" ht="15" hidden="false" customHeight="false" outlineLevel="0" collapsed="false">
      <c r="A102" s="2" t="n">
        <v>45977</v>
      </c>
      <c r="B102" s="3" t="s">
        <v>134</v>
      </c>
      <c r="C102" s="3" t="s">
        <v>20</v>
      </c>
      <c r="D102" s="4" t="n">
        <v>-37604.59</v>
      </c>
      <c r="E102" s="3" t="s">
        <v>150</v>
      </c>
      <c r="F102" s="3" t="s">
        <v>11</v>
      </c>
      <c r="G102" s="3" t="s">
        <v>23</v>
      </c>
      <c r="H102" s="3" t="s">
        <v>13</v>
      </c>
      <c r="I102" s="3" t="s">
        <v>107</v>
      </c>
    </row>
    <row r="103" customFormat="false" ht="15" hidden="false" customHeight="false" outlineLevel="0" collapsed="false">
      <c r="A103" s="5" t="n">
        <v>45978</v>
      </c>
      <c r="B103" s="0" t="s">
        <v>9</v>
      </c>
      <c r="C103" s="0" t="s">
        <v>27</v>
      </c>
      <c r="D103" s="6" t="n">
        <v>-41372.96</v>
      </c>
      <c r="E103" s="0" t="s">
        <v>151</v>
      </c>
      <c r="F103" s="0" t="s">
        <v>11</v>
      </c>
      <c r="G103" s="0" t="s">
        <v>12</v>
      </c>
      <c r="H103" s="0" t="s">
        <v>13</v>
      </c>
      <c r="I103" s="0" t="s">
        <v>107</v>
      </c>
    </row>
    <row r="104" customFormat="false" ht="15" hidden="false" customHeight="false" outlineLevel="0" collapsed="false">
      <c r="A104" s="2" t="n">
        <v>45978</v>
      </c>
      <c r="B104" s="3" t="s">
        <v>93</v>
      </c>
      <c r="C104" s="3" t="s">
        <v>27</v>
      </c>
      <c r="D104" s="4" t="n">
        <v>-18836.3</v>
      </c>
      <c r="E104" s="3" t="s">
        <v>152</v>
      </c>
      <c r="F104" s="3" t="s">
        <v>11</v>
      </c>
      <c r="G104" s="3" t="s">
        <v>41</v>
      </c>
      <c r="H104" s="3" t="s">
        <v>13</v>
      </c>
      <c r="I104" s="3" t="s">
        <v>107</v>
      </c>
    </row>
    <row r="105" customFormat="false" ht="15" hidden="false" customHeight="false" outlineLevel="0" collapsed="false">
      <c r="A105" s="5" t="n">
        <v>45978</v>
      </c>
      <c r="B105" s="0" t="s">
        <v>153</v>
      </c>
      <c r="C105" s="0" t="s">
        <v>72</v>
      </c>
      <c r="D105" s="6" t="n">
        <v>1500000</v>
      </c>
      <c r="E105" s="0" t="s">
        <v>154</v>
      </c>
      <c r="F105" s="0" t="s">
        <v>30</v>
      </c>
      <c r="G105" s="7" t="s">
        <v>155</v>
      </c>
      <c r="H105" s="0" t="s">
        <v>36</v>
      </c>
      <c r="I105" s="0" t="s">
        <v>107</v>
      </c>
    </row>
    <row r="106" customFormat="false" ht="15" hidden="false" customHeight="false" outlineLevel="0" collapsed="false">
      <c r="A106" s="5" t="n">
        <v>45982</v>
      </c>
      <c r="B106" s="0" t="s">
        <v>54</v>
      </c>
      <c r="C106" s="0" t="s">
        <v>55</v>
      </c>
      <c r="D106" s="6" t="n">
        <v>-187620.02</v>
      </c>
      <c r="E106" s="0" t="s">
        <v>156</v>
      </c>
      <c r="F106" s="0" t="s">
        <v>11</v>
      </c>
      <c r="G106" s="7" t="s">
        <v>55</v>
      </c>
      <c r="H106" s="0" t="s">
        <v>36</v>
      </c>
      <c r="I106" s="0" t="s">
        <v>107</v>
      </c>
    </row>
    <row r="107" customFormat="false" ht="15" hidden="false" customHeight="false" outlineLevel="0" collapsed="false">
      <c r="A107" s="5" t="n">
        <v>45982</v>
      </c>
      <c r="B107" s="0" t="s">
        <v>82</v>
      </c>
      <c r="C107" s="0" t="s">
        <v>10</v>
      </c>
      <c r="D107" s="6" t="n">
        <v>-13149.54</v>
      </c>
      <c r="E107" s="0" t="s">
        <v>157</v>
      </c>
      <c r="F107" s="0" t="s">
        <v>18</v>
      </c>
      <c r="G107" s="0" t="s">
        <v>83</v>
      </c>
      <c r="H107" s="0" t="s">
        <v>13</v>
      </c>
      <c r="I107" s="0" t="s">
        <v>107</v>
      </c>
    </row>
    <row r="108" customFormat="false" ht="15" hidden="false" customHeight="false" outlineLevel="0" collapsed="false">
      <c r="A108" s="2" t="n">
        <v>45982</v>
      </c>
      <c r="B108" s="3" t="s">
        <v>59</v>
      </c>
      <c r="C108" s="3" t="s">
        <v>27</v>
      </c>
      <c r="D108" s="4" t="n">
        <v>-16921.41</v>
      </c>
      <c r="E108" s="3" t="s">
        <v>158</v>
      </c>
      <c r="F108" s="3" t="s">
        <v>18</v>
      </c>
      <c r="G108" s="3" t="s">
        <v>61</v>
      </c>
      <c r="H108" s="3" t="s">
        <v>13</v>
      </c>
      <c r="I108" s="3" t="s">
        <v>107</v>
      </c>
    </row>
    <row r="109" customFormat="false" ht="15" hidden="false" customHeight="false" outlineLevel="0" collapsed="false">
      <c r="A109" s="5" t="n">
        <v>45983</v>
      </c>
      <c r="B109" s="0" t="s">
        <v>159</v>
      </c>
      <c r="C109" s="0" t="s">
        <v>16</v>
      </c>
      <c r="D109" s="6" t="n">
        <v>-40658.71</v>
      </c>
      <c r="E109" s="0" t="s">
        <v>160</v>
      </c>
      <c r="F109" s="0" t="s">
        <v>18</v>
      </c>
      <c r="G109" s="0" t="s">
        <v>28</v>
      </c>
      <c r="H109" s="0" t="s">
        <v>13</v>
      </c>
      <c r="I109" s="0" t="s">
        <v>107</v>
      </c>
    </row>
    <row r="110" customFormat="false" ht="15" hidden="false" customHeight="false" outlineLevel="0" collapsed="false">
      <c r="A110" s="2" t="n">
        <v>45983</v>
      </c>
      <c r="B110" s="3" t="s">
        <v>88</v>
      </c>
      <c r="C110" s="3" t="s">
        <v>33</v>
      </c>
      <c r="D110" s="4" t="n">
        <v>176427.3</v>
      </c>
      <c r="E110" s="3"/>
      <c r="F110" s="3" t="s">
        <v>11</v>
      </c>
      <c r="G110" s="3" t="s">
        <v>46</v>
      </c>
      <c r="H110" s="3" t="s">
        <v>13</v>
      </c>
      <c r="I110" s="3" t="s">
        <v>107</v>
      </c>
    </row>
    <row r="111" customFormat="false" ht="15" hidden="false" customHeight="false" outlineLevel="0" collapsed="false">
      <c r="A111" s="5" t="n">
        <v>45983</v>
      </c>
      <c r="B111" s="0" t="s">
        <v>42</v>
      </c>
      <c r="C111" s="0" t="s">
        <v>37</v>
      </c>
      <c r="D111" s="6" t="n">
        <v>-21392.33</v>
      </c>
      <c r="E111" s="0" t="s">
        <v>161</v>
      </c>
      <c r="F111" s="0" t="s">
        <v>30</v>
      </c>
      <c r="G111" s="0" t="s">
        <v>43</v>
      </c>
      <c r="H111" s="0" t="s">
        <v>13</v>
      </c>
      <c r="I111" s="0" t="s">
        <v>107</v>
      </c>
    </row>
    <row r="112" customFormat="false" ht="15" hidden="false" customHeight="false" outlineLevel="0" collapsed="false">
      <c r="A112" s="2" t="n">
        <v>45986</v>
      </c>
      <c r="B112" s="3" t="s">
        <v>26</v>
      </c>
      <c r="C112" s="3" t="s">
        <v>20</v>
      </c>
      <c r="D112" s="4" t="n">
        <v>-14842.55</v>
      </c>
      <c r="E112" s="3" t="s">
        <v>162</v>
      </c>
      <c r="F112" s="3" t="s">
        <v>11</v>
      </c>
      <c r="G112" s="3" t="s">
        <v>28</v>
      </c>
      <c r="H112" s="3" t="s">
        <v>13</v>
      </c>
      <c r="I112" s="3" t="s">
        <v>107</v>
      </c>
    </row>
    <row r="113" customFormat="false" ht="15" hidden="false" customHeight="false" outlineLevel="0" collapsed="false">
      <c r="A113" s="5" t="n">
        <v>45988</v>
      </c>
      <c r="B113" s="0" t="s">
        <v>21</v>
      </c>
      <c r="C113" s="0" t="s">
        <v>10</v>
      </c>
      <c r="D113" s="6" t="n">
        <v>-66888.36</v>
      </c>
      <c r="E113" s="0" t="s">
        <v>163</v>
      </c>
      <c r="F113" s="0" t="s">
        <v>11</v>
      </c>
      <c r="G113" s="0" t="s">
        <v>23</v>
      </c>
      <c r="H113" s="0" t="s">
        <v>13</v>
      </c>
      <c r="I113" s="0" t="s">
        <v>107</v>
      </c>
    </row>
    <row r="114" customFormat="false" ht="15" hidden="false" customHeight="false" outlineLevel="0" collapsed="false">
      <c r="A114" s="2" t="n">
        <v>45988</v>
      </c>
      <c r="B114" s="3" t="s">
        <v>103</v>
      </c>
      <c r="C114" s="3" t="s">
        <v>72</v>
      </c>
      <c r="D114" s="4" t="n">
        <v>232705.38</v>
      </c>
      <c r="E114" s="3" t="s">
        <v>164</v>
      </c>
      <c r="F114" s="3" t="s">
        <v>18</v>
      </c>
      <c r="G114" s="3" t="s">
        <v>46</v>
      </c>
      <c r="H114" s="3" t="s">
        <v>13</v>
      </c>
      <c r="I114" s="3" t="s">
        <v>107</v>
      </c>
    </row>
    <row r="115" customFormat="false" ht="15" hidden="false" customHeight="false" outlineLevel="0" collapsed="false">
      <c r="A115" s="5" t="n">
        <v>45988</v>
      </c>
      <c r="B115" s="0" t="s">
        <v>15</v>
      </c>
      <c r="C115" s="0" t="s">
        <v>37</v>
      </c>
      <c r="D115" s="6" t="n">
        <v>-32862.31</v>
      </c>
      <c r="E115" s="0" t="s">
        <v>165</v>
      </c>
      <c r="F115" s="0" t="s">
        <v>30</v>
      </c>
      <c r="G115" s="0" t="s">
        <v>19</v>
      </c>
      <c r="H115" s="0" t="s">
        <v>13</v>
      </c>
      <c r="I115" s="0" t="s">
        <v>107</v>
      </c>
    </row>
    <row r="116" customFormat="false" ht="15" hidden="false" customHeight="false" outlineLevel="0" collapsed="false">
      <c r="A116" s="2" t="n">
        <v>45989</v>
      </c>
      <c r="B116" s="3" t="s">
        <v>24</v>
      </c>
      <c r="C116" s="3" t="s">
        <v>37</v>
      </c>
      <c r="D116" s="4" t="n">
        <v>-25065.81</v>
      </c>
      <c r="E116" s="3" t="s">
        <v>166</v>
      </c>
      <c r="F116" s="3" t="s">
        <v>11</v>
      </c>
      <c r="G116" s="3" t="s">
        <v>25</v>
      </c>
      <c r="H116" s="3" t="s">
        <v>13</v>
      </c>
      <c r="I116" s="3" t="s">
        <v>107</v>
      </c>
    </row>
    <row r="117" customFormat="false" ht="15" hidden="false" customHeight="false" outlineLevel="0" collapsed="false">
      <c r="A117" s="5" t="n">
        <v>45989</v>
      </c>
      <c r="B117" s="0" t="s">
        <v>68</v>
      </c>
      <c r="C117" s="0" t="s">
        <v>69</v>
      </c>
      <c r="D117" s="6" t="n">
        <v>9506.81</v>
      </c>
      <c r="E117" s="0" t="s">
        <v>167</v>
      </c>
      <c r="F117" s="0" t="s">
        <v>11</v>
      </c>
      <c r="G117" s="7" t="s">
        <v>69</v>
      </c>
      <c r="H117" s="0" t="s">
        <v>36</v>
      </c>
      <c r="I117" s="0" t="s">
        <v>107</v>
      </c>
    </row>
    <row r="118" customFormat="false" ht="15" hidden="false" customHeight="false" outlineLevel="0" collapsed="false">
      <c r="A118" s="5" t="n">
        <v>45989</v>
      </c>
      <c r="B118" s="0" t="s">
        <v>54</v>
      </c>
      <c r="C118" s="0" t="s">
        <v>55</v>
      </c>
      <c r="D118" s="6" t="n">
        <v>-138887.05</v>
      </c>
      <c r="E118" s="0" t="s">
        <v>168</v>
      </c>
      <c r="F118" s="0" t="s">
        <v>18</v>
      </c>
      <c r="G118" s="7" t="s">
        <v>55</v>
      </c>
      <c r="H118" s="0" t="s">
        <v>36</v>
      </c>
      <c r="I118" s="0" t="s">
        <v>107</v>
      </c>
    </row>
    <row r="119" customFormat="false" ht="15" hidden="false" customHeight="false" outlineLevel="0" collapsed="false">
      <c r="A119" s="5" t="n">
        <v>45989</v>
      </c>
      <c r="B119" s="0" t="s">
        <v>121</v>
      </c>
      <c r="C119" s="0" t="s">
        <v>62</v>
      </c>
      <c r="D119" s="6" t="n">
        <v>274763.28</v>
      </c>
      <c r="E119" s="0" t="s">
        <v>169</v>
      </c>
      <c r="F119" s="0" t="s">
        <v>30</v>
      </c>
      <c r="G119" s="0" t="s">
        <v>46</v>
      </c>
      <c r="H119" s="0" t="s">
        <v>13</v>
      </c>
      <c r="I119" s="0" t="s">
        <v>107</v>
      </c>
    </row>
    <row r="120" customFormat="false" ht="15" hidden="false" customHeight="false" outlineLevel="0" collapsed="false">
      <c r="A120" s="5" t="n">
        <v>45990</v>
      </c>
      <c r="B120" s="0" t="s">
        <v>54</v>
      </c>
      <c r="C120" s="0" t="s">
        <v>55</v>
      </c>
      <c r="D120" s="6" t="n">
        <v>-143923.03</v>
      </c>
      <c r="E120" s="0" t="s">
        <v>170</v>
      </c>
      <c r="F120" s="0" t="s">
        <v>11</v>
      </c>
      <c r="G120" s="7" t="s">
        <v>55</v>
      </c>
      <c r="H120" s="0" t="s">
        <v>36</v>
      </c>
      <c r="I120" s="0" t="s">
        <v>107</v>
      </c>
    </row>
    <row r="121" customFormat="false" ht="15" hidden="false" customHeight="false" outlineLevel="0" collapsed="false">
      <c r="A121" s="5" t="n">
        <v>45990</v>
      </c>
      <c r="B121" s="0" t="s">
        <v>159</v>
      </c>
      <c r="C121" s="0" t="s">
        <v>27</v>
      </c>
      <c r="D121" s="6" t="n">
        <v>-16599.18</v>
      </c>
      <c r="E121" s="0" t="s">
        <v>171</v>
      </c>
      <c r="F121" s="0" t="s">
        <v>18</v>
      </c>
      <c r="G121" s="0" t="s">
        <v>28</v>
      </c>
      <c r="H121" s="0" t="s">
        <v>13</v>
      </c>
      <c r="I121" s="0" t="s">
        <v>107</v>
      </c>
    </row>
    <row r="122" customFormat="false" ht="15" hidden="false" customHeight="false" outlineLevel="0" collapsed="false">
      <c r="A122" s="2" t="n">
        <v>45991</v>
      </c>
      <c r="B122" s="3" t="s">
        <v>103</v>
      </c>
      <c r="C122" s="3" t="s">
        <v>62</v>
      </c>
      <c r="D122" s="4" t="n">
        <v>73974.95</v>
      </c>
      <c r="E122" s="3"/>
      <c r="F122" s="3" t="s">
        <v>18</v>
      </c>
      <c r="G122" s="3" t="s">
        <v>46</v>
      </c>
      <c r="H122" s="3" t="s">
        <v>13</v>
      </c>
      <c r="I122" s="3" t="s">
        <v>107</v>
      </c>
    </row>
    <row r="123" customFormat="false" ht="15" hidden="false" customHeight="false" outlineLevel="0" collapsed="false">
      <c r="A123" s="5" t="n">
        <v>45991</v>
      </c>
      <c r="B123" s="0" t="s">
        <v>44</v>
      </c>
      <c r="C123" s="0" t="s">
        <v>33</v>
      </c>
      <c r="D123" s="6" t="n">
        <v>379965.16</v>
      </c>
      <c r="E123" s="0" t="s">
        <v>172</v>
      </c>
      <c r="F123" s="0" t="s">
        <v>11</v>
      </c>
      <c r="G123" s="0" t="s">
        <v>46</v>
      </c>
      <c r="H123" s="0" t="s">
        <v>13</v>
      </c>
      <c r="I123" s="0" t="s">
        <v>107</v>
      </c>
    </row>
    <row r="124" customFormat="false" ht="15" hidden="false" customHeight="false" outlineLevel="0" collapsed="false">
      <c r="A124" s="2" t="n">
        <v>45991</v>
      </c>
      <c r="B124" s="3" t="s">
        <v>173</v>
      </c>
      <c r="C124" s="3" t="s">
        <v>10</v>
      </c>
      <c r="D124" s="4" t="n">
        <v>-43464.65</v>
      </c>
      <c r="E124" s="3" t="s">
        <v>174</v>
      </c>
      <c r="F124" s="3" t="s">
        <v>11</v>
      </c>
      <c r="G124" s="3" t="s">
        <v>28</v>
      </c>
      <c r="H124" s="3" t="s">
        <v>13</v>
      </c>
      <c r="I124" s="3" t="s">
        <v>107</v>
      </c>
    </row>
    <row r="125" customFormat="false" ht="15" hidden="false" customHeight="false" outlineLevel="0" collapsed="false">
      <c r="A125" s="5" t="n">
        <v>45991</v>
      </c>
      <c r="B125" s="0" t="s">
        <v>121</v>
      </c>
      <c r="C125" s="0" t="s">
        <v>62</v>
      </c>
      <c r="D125" s="6" t="n">
        <v>255310.47</v>
      </c>
      <c r="E125" s="0" t="s">
        <v>175</v>
      </c>
      <c r="F125" s="0" t="s">
        <v>18</v>
      </c>
      <c r="G125" s="0" t="s">
        <v>46</v>
      </c>
      <c r="H125" s="0" t="s">
        <v>13</v>
      </c>
      <c r="I125" s="0" t="s">
        <v>107</v>
      </c>
    </row>
    <row r="126" customFormat="false" ht="15" hidden="false" customHeight="false" outlineLevel="0" collapsed="false">
      <c r="A126" s="2" t="n">
        <v>45993</v>
      </c>
      <c r="B126" s="3" t="s">
        <v>9</v>
      </c>
      <c r="C126" s="3" t="s">
        <v>10</v>
      </c>
      <c r="D126" s="4" t="n">
        <v>-6213.42</v>
      </c>
      <c r="E126" s="3" t="s">
        <v>176</v>
      </c>
      <c r="F126" s="3" t="s">
        <v>11</v>
      </c>
      <c r="G126" s="3" t="s">
        <v>12</v>
      </c>
      <c r="H126" s="3" t="s">
        <v>13</v>
      </c>
      <c r="I126" s="3" t="s">
        <v>177</v>
      </c>
    </row>
    <row r="127" customFormat="false" ht="15" hidden="false" customHeight="false" outlineLevel="0" collapsed="false">
      <c r="A127" s="5" t="n">
        <v>45993</v>
      </c>
      <c r="B127" s="0" t="s">
        <v>121</v>
      </c>
      <c r="C127" s="0" t="s">
        <v>72</v>
      </c>
      <c r="D127" s="6" t="n">
        <v>339015.36</v>
      </c>
      <c r="E127" s="0" t="s">
        <v>178</v>
      </c>
      <c r="F127" s="0" t="s">
        <v>18</v>
      </c>
      <c r="G127" s="0" t="s">
        <v>46</v>
      </c>
      <c r="H127" s="0" t="s">
        <v>13</v>
      </c>
      <c r="I127" s="0" t="s">
        <v>177</v>
      </c>
    </row>
    <row r="128" customFormat="false" ht="15" hidden="false" customHeight="false" outlineLevel="0" collapsed="false">
      <c r="A128" s="2" t="n">
        <v>45993</v>
      </c>
      <c r="B128" s="3" t="s">
        <v>57</v>
      </c>
      <c r="C128" s="3" t="s">
        <v>37</v>
      </c>
      <c r="D128" s="4" t="n">
        <v>-40517.37</v>
      </c>
      <c r="E128" s="3" t="s">
        <v>179</v>
      </c>
      <c r="F128" s="3" t="s">
        <v>11</v>
      </c>
      <c r="G128" s="3" t="s">
        <v>52</v>
      </c>
      <c r="H128" s="3" t="s">
        <v>13</v>
      </c>
      <c r="I128" s="3" t="s">
        <v>177</v>
      </c>
    </row>
    <row r="129" customFormat="false" ht="15" hidden="false" customHeight="false" outlineLevel="0" collapsed="false">
      <c r="A129" s="5" t="n">
        <v>45994</v>
      </c>
      <c r="B129" s="0" t="s">
        <v>44</v>
      </c>
      <c r="C129" s="0" t="s">
        <v>33</v>
      </c>
      <c r="D129" s="6" t="n">
        <v>59774.02</v>
      </c>
      <c r="E129" s="0" t="s">
        <v>180</v>
      </c>
      <c r="F129" s="0" t="s">
        <v>18</v>
      </c>
      <c r="G129" s="0" t="s">
        <v>46</v>
      </c>
      <c r="H129" s="0" t="s">
        <v>13</v>
      </c>
      <c r="I129" s="0" t="s">
        <v>177</v>
      </c>
    </row>
    <row r="130" customFormat="false" ht="15" hidden="false" customHeight="false" outlineLevel="0" collapsed="false">
      <c r="A130" s="2" t="n">
        <v>45994</v>
      </c>
      <c r="B130" s="3" t="s">
        <v>59</v>
      </c>
      <c r="C130" s="3" t="s">
        <v>27</v>
      </c>
      <c r="D130" s="4" t="n">
        <v>-31890.82</v>
      </c>
      <c r="E130" s="3" t="s">
        <v>181</v>
      </c>
      <c r="F130" s="3" t="s">
        <v>18</v>
      </c>
      <c r="G130" s="3" t="s">
        <v>61</v>
      </c>
      <c r="H130" s="3" t="s">
        <v>13</v>
      </c>
      <c r="I130" s="3" t="s">
        <v>177</v>
      </c>
    </row>
    <row r="131" customFormat="false" ht="15" hidden="false" customHeight="false" outlineLevel="0" collapsed="false">
      <c r="A131" s="5" t="n">
        <v>45995</v>
      </c>
      <c r="B131" s="0" t="s">
        <v>9</v>
      </c>
      <c r="C131" s="0" t="s">
        <v>16</v>
      </c>
      <c r="D131" s="6" t="n">
        <v>-40425.76</v>
      </c>
      <c r="E131" s="0" t="s">
        <v>182</v>
      </c>
      <c r="F131" s="0" t="s">
        <v>18</v>
      </c>
      <c r="G131" s="0" t="s">
        <v>12</v>
      </c>
      <c r="H131" s="0" t="s">
        <v>13</v>
      </c>
      <c r="I131" s="0" t="s">
        <v>177</v>
      </c>
    </row>
    <row r="132" customFormat="false" ht="15" hidden="false" customHeight="false" outlineLevel="0" collapsed="false">
      <c r="A132" s="2" t="n">
        <v>45995</v>
      </c>
      <c r="B132" s="3" t="s">
        <v>77</v>
      </c>
      <c r="C132" s="3" t="s">
        <v>20</v>
      </c>
      <c r="D132" s="4" t="n">
        <v>-41175.18</v>
      </c>
      <c r="E132" s="3" t="s">
        <v>183</v>
      </c>
      <c r="F132" s="3" t="s">
        <v>11</v>
      </c>
      <c r="G132" s="3" t="s">
        <v>52</v>
      </c>
      <c r="H132" s="3" t="s">
        <v>13</v>
      </c>
      <c r="I132" s="3" t="s">
        <v>177</v>
      </c>
    </row>
    <row r="133" customFormat="false" ht="15" hidden="false" customHeight="false" outlineLevel="0" collapsed="false">
      <c r="A133" s="5" t="n">
        <v>45997</v>
      </c>
      <c r="B133" s="0" t="s">
        <v>50</v>
      </c>
      <c r="C133" s="0" t="s">
        <v>10</v>
      </c>
      <c r="D133" s="6" t="n">
        <v>-44864.07</v>
      </c>
      <c r="E133" s="0" t="s">
        <v>184</v>
      </c>
      <c r="F133" s="0" t="s">
        <v>11</v>
      </c>
      <c r="G133" s="0" t="s">
        <v>52</v>
      </c>
      <c r="H133" s="0" t="s">
        <v>13</v>
      </c>
      <c r="I133" s="0" t="s">
        <v>177</v>
      </c>
    </row>
    <row r="134" customFormat="false" ht="15" hidden="false" customHeight="false" outlineLevel="0" collapsed="false">
      <c r="A134" s="2" t="n">
        <v>45998</v>
      </c>
      <c r="B134" s="3" t="s">
        <v>66</v>
      </c>
      <c r="C134" s="3" t="s">
        <v>62</v>
      </c>
      <c r="D134" s="4" t="n">
        <v>171448.03</v>
      </c>
      <c r="E134" s="3" t="s">
        <v>185</v>
      </c>
      <c r="F134" s="3" t="s">
        <v>11</v>
      </c>
      <c r="G134" s="3" t="s">
        <v>46</v>
      </c>
      <c r="H134" s="3" t="s">
        <v>13</v>
      </c>
      <c r="I134" s="3" t="s">
        <v>177</v>
      </c>
    </row>
    <row r="135" customFormat="false" ht="15" hidden="false" customHeight="false" outlineLevel="0" collapsed="false">
      <c r="A135" s="5" t="n">
        <v>45999</v>
      </c>
      <c r="B135" s="0" t="s">
        <v>32</v>
      </c>
      <c r="C135" s="0" t="s">
        <v>62</v>
      </c>
      <c r="D135" s="6" t="n">
        <v>2477.48</v>
      </c>
      <c r="E135" s="0" t="s">
        <v>186</v>
      </c>
      <c r="F135" s="0" t="s">
        <v>30</v>
      </c>
      <c r="G135" s="7" t="s">
        <v>35</v>
      </c>
      <c r="H135" s="0" t="s">
        <v>36</v>
      </c>
      <c r="I135" s="0" t="s">
        <v>177</v>
      </c>
    </row>
    <row r="136" customFormat="false" ht="15" hidden="false" customHeight="false" outlineLevel="0" collapsed="false">
      <c r="A136" s="5" t="n">
        <v>45999</v>
      </c>
      <c r="B136" s="0" t="s">
        <v>153</v>
      </c>
      <c r="C136" s="0" t="s">
        <v>33</v>
      </c>
      <c r="D136" s="6" t="n">
        <v>1500000</v>
      </c>
      <c r="E136" s="0" t="s">
        <v>187</v>
      </c>
      <c r="F136" s="0" t="s">
        <v>11</v>
      </c>
      <c r="G136" s="7" t="s">
        <v>155</v>
      </c>
      <c r="H136" s="0" t="s">
        <v>36</v>
      </c>
      <c r="I136" s="0" t="s">
        <v>177</v>
      </c>
    </row>
    <row r="137" customFormat="false" ht="15" hidden="false" customHeight="false" outlineLevel="0" collapsed="false">
      <c r="A137" s="5" t="n">
        <v>45999</v>
      </c>
      <c r="B137" s="0" t="s">
        <v>103</v>
      </c>
      <c r="C137" s="0" t="s">
        <v>62</v>
      </c>
      <c r="D137" s="6" t="n">
        <v>255443.79</v>
      </c>
      <c r="E137" s="0" t="s">
        <v>188</v>
      </c>
      <c r="F137" s="0" t="s">
        <v>18</v>
      </c>
      <c r="G137" s="0" t="s">
        <v>46</v>
      </c>
      <c r="H137" s="0" t="s">
        <v>13</v>
      </c>
      <c r="I137" s="0" t="s">
        <v>177</v>
      </c>
    </row>
    <row r="138" customFormat="false" ht="15" hidden="false" customHeight="false" outlineLevel="0" collapsed="false">
      <c r="A138" s="2" t="n">
        <v>46000</v>
      </c>
      <c r="B138" s="3" t="s">
        <v>121</v>
      </c>
      <c r="C138" s="3" t="s">
        <v>72</v>
      </c>
      <c r="D138" s="4" t="n">
        <v>210854.49</v>
      </c>
      <c r="E138" s="3" t="s">
        <v>189</v>
      </c>
      <c r="F138" s="3" t="s">
        <v>11</v>
      </c>
      <c r="G138" s="3" t="s">
        <v>46</v>
      </c>
      <c r="H138" s="3" t="s">
        <v>13</v>
      </c>
      <c r="I138" s="3" t="s">
        <v>177</v>
      </c>
    </row>
    <row r="139" customFormat="false" ht="15" hidden="false" customHeight="false" outlineLevel="0" collapsed="false">
      <c r="A139" s="5" t="n">
        <v>46000</v>
      </c>
      <c r="B139" s="0" t="s">
        <v>93</v>
      </c>
      <c r="C139" s="0" t="s">
        <v>16</v>
      </c>
      <c r="D139" s="6" t="n">
        <v>-10264.26</v>
      </c>
      <c r="E139" s="0" t="s">
        <v>190</v>
      </c>
      <c r="F139" s="0" t="s">
        <v>18</v>
      </c>
      <c r="G139" s="0" t="s">
        <v>41</v>
      </c>
      <c r="H139" s="0" t="s">
        <v>13</v>
      </c>
      <c r="I139" s="0" t="s">
        <v>177</v>
      </c>
    </row>
    <row r="140" customFormat="false" ht="15" hidden="false" customHeight="false" outlineLevel="0" collapsed="false">
      <c r="A140" s="2" t="n">
        <v>46000</v>
      </c>
      <c r="B140" s="3" t="s">
        <v>128</v>
      </c>
      <c r="C140" s="3" t="s">
        <v>62</v>
      </c>
      <c r="D140" s="4" t="n">
        <v>314466.58</v>
      </c>
      <c r="E140" s="3"/>
      <c r="F140" s="3" t="s">
        <v>11</v>
      </c>
      <c r="G140" s="3" t="s">
        <v>46</v>
      </c>
      <c r="H140" s="3" t="s">
        <v>13</v>
      </c>
      <c r="I140" s="3" t="s">
        <v>177</v>
      </c>
    </row>
    <row r="141" customFormat="false" ht="15" hidden="false" customHeight="false" outlineLevel="0" collapsed="false">
      <c r="A141" s="5" t="n">
        <v>46001</v>
      </c>
      <c r="B141" s="0" t="s">
        <v>99</v>
      </c>
      <c r="C141" s="0" t="s">
        <v>62</v>
      </c>
      <c r="D141" s="6" t="n">
        <v>104406.41</v>
      </c>
      <c r="E141" s="0" t="s">
        <v>191</v>
      </c>
      <c r="F141" s="0" t="s">
        <v>11</v>
      </c>
      <c r="G141" s="0" t="s">
        <v>46</v>
      </c>
      <c r="H141" s="0" t="s">
        <v>13</v>
      </c>
      <c r="I141" s="0" t="s">
        <v>177</v>
      </c>
    </row>
    <row r="142" customFormat="false" ht="15" hidden="false" customHeight="false" outlineLevel="0" collapsed="false">
      <c r="A142" s="2" t="n">
        <v>46002</v>
      </c>
      <c r="B142" s="3" t="s">
        <v>101</v>
      </c>
      <c r="C142" s="3" t="s">
        <v>27</v>
      </c>
      <c r="D142" s="4" t="n">
        <v>-33851.75</v>
      </c>
      <c r="E142" s="3" t="s">
        <v>192</v>
      </c>
      <c r="F142" s="3" t="s">
        <v>11</v>
      </c>
      <c r="G142" s="3" t="s">
        <v>52</v>
      </c>
      <c r="H142" s="3" t="s">
        <v>13</v>
      </c>
      <c r="I142" s="3" t="s">
        <v>177</v>
      </c>
    </row>
    <row r="143" customFormat="false" ht="15" hidden="false" customHeight="false" outlineLevel="0" collapsed="false">
      <c r="A143" s="5" t="n">
        <v>46002</v>
      </c>
      <c r="B143" s="0" t="s">
        <v>79</v>
      </c>
      <c r="C143" s="0" t="s">
        <v>33</v>
      </c>
      <c r="D143" s="6" t="n">
        <v>93232.59</v>
      </c>
      <c r="E143" s="0" t="s">
        <v>193</v>
      </c>
      <c r="F143" s="0" t="s">
        <v>11</v>
      </c>
      <c r="G143" s="0" t="s">
        <v>46</v>
      </c>
      <c r="H143" s="0" t="s">
        <v>13</v>
      </c>
      <c r="I143" s="0" t="s">
        <v>177</v>
      </c>
    </row>
    <row r="144" customFormat="false" ht="15" hidden="false" customHeight="false" outlineLevel="0" collapsed="false">
      <c r="A144" s="2" t="n">
        <v>46002</v>
      </c>
      <c r="B144" s="3" t="s">
        <v>24</v>
      </c>
      <c r="C144" s="3" t="s">
        <v>37</v>
      </c>
      <c r="D144" s="4" t="n">
        <v>-12268.41</v>
      </c>
      <c r="E144" s="3"/>
      <c r="F144" s="3" t="s">
        <v>11</v>
      </c>
      <c r="G144" s="3" t="s">
        <v>25</v>
      </c>
      <c r="H144" s="3" t="s">
        <v>13</v>
      </c>
      <c r="I144" s="3" t="s">
        <v>177</v>
      </c>
    </row>
    <row r="145" customFormat="false" ht="15" hidden="false" customHeight="false" outlineLevel="0" collapsed="false">
      <c r="A145" s="5" t="n">
        <v>46003</v>
      </c>
      <c r="B145" s="0" t="s">
        <v>48</v>
      </c>
      <c r="C145" s="0" t="s">
        <v>10</v>
      </c>
      <c r="D145" s="6" t="n">
        <v>-188291.61</v>
      </c>
      <c r="E145" s="0" t="s">
        <v>194</v>
      </c>
      <c r="F145" s="0" t="s">
        <v>30</v>
      </c>
      <c r="G145" s="0" t="s">
        <v>49</v>
      </c>
      <c r="H145" s="0" t="s">
        <v>13</v>
      </c>
      <c r="I145" s="0" t="s">
        <v>177</v>
      </c>
    </row>
    <row r="146" customFormat="false" ht="15" hidden="false" customHeight="false" outlineLevel="0" collapsed="false">
      <c r="A146" s="2" t="n">
        <v>46004</v>
      </c>
      <c r="B146" s="3" t="s">
        <v>66</v>
      </c>
      <c r="C146" s="3" t="s">
        <v>33</v>
      </c>
      <c r="D146" s="4" t="n">
        <v>251957.53</v>
      </c>
      <c r="E146" s="3" t="s">
        <v>195</v>
      </c>
      <c r="F146" s="3" t="s">
        <v>11</v>
      </c>
      <c r="G146" s="3" t="s">
        <v>46</v>
      </c>
      <c r="H146" s="3" t="s">
        <v>13</v>
      </c>
      <c r="I146" s="3" t="s">
        <v>177</v>
      </c>
    </row>
    <row r="147" customFormat="false" ht="15" hidden="false" customHeight="false" outlineLevel="0" collapsed="false">
      <c r="A147" s="5" t="n">
        <v>46004</v>
      </c>
      <c r="B147" s="0" t="s">
        <v>21</v>
      </c>
      <c r="C147" s="0" t="s">
        <v>20</v>
      </c>
      <c r="D147" s="6" t="n">
        <v>-42916.76</v>
      </c>
      <c r="E147" s="0" t="s">
        <v>196</v>
      </c>
      <c r="F147" s="0" t="s">
        <v>30</v>
      </c>
      <c r="G147" s="0" t="s">
        <v>23</v>
      </c>
      <c r="H147" s="0" t="s">
        <v>13</v>
      </c>
      <c r="I147" s="0" t="s">
        <v>177</v>
      </c>
    </row>
    <row r="148" customFormat="false" ht="15" hidden="false" customHeight="false" outlineLevel="0" collapsed="false">
      <c r="A148" s="2" t="n">
        <v>46004</v>
      </c>
      <c r="B148" s="3" t="s">
        <v>101</v>
      </c>
      <c r="C148" s="3" t="s">
        <v>37</v>
      </c>
      <c r="D148" s="4" t="n">
        <v>-14658.85</v>
      </c>
      <c r="E148" s="3" t="s">
        <v>197</v>
      </c>
      <c r="F148" s="3" t="s">
        <v>18</v>
      </c>
      <c r="G148" s="3" t="s">
        <v>52</v>
      </c>
      <c r="H148" s="3" t="s">
        <v>13</v>
      </c>
      <c r="I148" s="3" t="s">
        <v>177</v>
      </c>
    </row>
    <row r="149" customFormat="false" ht="15" hidden="false" customHeight="false" outlineLevel="0" collapsed="false">
      <c r="A149" s="5" t="n">
        <v>46004</v>
      </c>
      <c r="B149" s="0" t="s">
        <v>42</v>
      </c>
      <c r="C149" s="0" t="s">
        <v>16</v>
      </c>
      <c r="D149" s="6" t="n">
        <v>-10478.9</v>
      </c>
      <c r="F149" s="0" t="s">
        <v>30</v>
      </c>
      <c r="G149" s="0" t="s">
        <v>43</v>
      </c>
      <c r="H149" s="0" t="s">
        <v>13</v>
      </c>
      <c r="I149" s="0" t="s">
        <v>177</v>
      </c>
    </row>
    <row r="150" customFormat="false" ht="15" hidden="false" customHeight="false" outlineLevel="0" collapsed="false">
      <c r="A150" s="2" t="n">
        <v>46005</v>
      </c>
      <c r="B150" s="3" t="s">
        <v>15</v>
      </c>
      <c r="C150" s="3" t="s">
        <v>37</v>
      </c>
      <c r="D150" s="4" t="n">
        <v>-19155.51</v>
      </c>
      <c r="E150" s="3" t="s">
        <v>198</v>
      </c>
      <c r="F150" s="3" t="s">
        <v>11</v>
      </c>
      <c r="G150" s="3" t="s">
        <v>19</v>
      </c>
      <c r="H150" s="3" t="s">
        <v>13</v>
      </c>
      <c r="I150" s="3" t="s">
        <v>177</v>
      </c>
    </row>
    <row r="151" customFormat="false" ht="15" hidden="false" customHeight="false" outlineLevel="0" collapsed="false">
      <c r="A151" s="5" t="n">
        <v>46005</v>
      </c>
      <c r="B151" s="0" t="s">
        <v>173</v>
      </c>
      <c r="C151" s="0" t="s">
        <v>16</v>
      </c>
      <c r="D151" s="6" t="n">
        <v>-20159.48</v>
      </c>
      <c r="E151" s="0" t="s">
        <v>199</v>
      </c>
      <c r="F151" s="0" t="s">
        <v>18</v>
      </c>
      <c r="G151" s="0" t="s">
        <v>28</v>
      </c>
      <c r="H151" s="0" t="s">
        <v>13</v>
      </c>
      <c r="I151" s="0" t="s">
        <v>177</v>
      </c>
    </row>
    <row r="152" customFormat="false" ht="15" hidden="false" customHeight="false" outlineLevel="0" collapsed="false">
      <c r="A152" s="2" t="n">
        <v>46006</v>
      </c>
      <c r="B152" s="3" t="s">
        <v>39</v>
      </c>
      <c r="C152" s="3" t="s">
        <v>27</v>
      </c>
      <c r="D152" s="4" t="n">
        <v>-13093.44</v>
      </c>
      <c r="E152" s="3"/>
      <c r="F152" s="3" t="s">
        <v>11</v>
      </c>
      <c r="G152" s="3" t="s">
        <v>41</v>
      </c>
      <c r="H152" s="3" t="s">
        <v>13</v>
      </c>
      <c r="I152" s="3" t="s">
        <v>177</v>
      </c>
    </row>
    <row r="153" customFormat="false" ht="15" hidden="false" customHeight="false" outlineLevel="0" collapsed="false">
      <c r="A153" s="5" t="n">
        <v>46006</v>
      </c>
      <c r="B153" s="0" t="s">
        <v>66</v>
      </c>
      <c r="C153" s="0" t="s">
        <v>62</v>
      </c>
      <c r="D153" s="6" t="n">
        <v>39691.02</v>
      </c>
      <c r="E153" s="0" t="s">
        <v>200</v>
      </c>
      <c r="F153" s="0" t="s">
        <v>11</v>
      </c>
      <c r="G153" s="0" t="s">
        <v>46</v>
      </c>
      <c r="H153" s="0" t="s">
        <v>13</v>
      </c>
      <c r="I153" s="0" t="s">
        <v>177</v>
      </c>
    </row>
    <row r="154" customFormat="false" ht="15" hidden="false" customHeight="false" outlineLevel="0" collapsed="false">
      <c r="A154" s="2" t="n">
        <v>46006</v>
      </c>
      <c r="B154" s="3" t="s">
        <v>42</v>
      </c>
      <c r="C154" s="3" t="s">
        <v>16</v>
      </c>
      <c r="D154" s="4" t="n">
        <v>-29644.02</v>
      </c>
      <c r="E154" s="3" t="s">
        <v>201</v>
      </c>
      <c r="F154" s="3" t="s">
        <v>18</v>
      </c>
      <c r="G154" s="3" t="s">
        <v>43</v>
      </c>
      <c r="H154" s="3" t="s">
        <v>13</v>
      </c>
      <c r="I154" s="3" t="s">
        <v>177</v>
      </c>
    </row>
    <row r="155" customFormat="false" ht="15" hidden="false" customHeight="false" outlineLevel="0" collapsed="false">
      <c r="A155" s="5" t="n">
        <v>46007</v>
      </c>
      <c r="B155" s="0" t="s">
        <v>75</v>
      </c>
      <c r="C155" s="0" t="s">
        <v>72</v>
      </c>
      <c r="D155" s="6" t="n">
        <v>378533.88</v>
      </c>
      <c r="E155" s="0" t="s">
        <v>202</v>
      </c>
      <c r="F155" s="0" t="s">
        <v>11</v>
      </c>
      <c r="G155" s="0" t="s">
        <v>25</v>
      </c>
      <c r="H155" s="0" t="s">
        <v>13</v>
      </c>
      <c r="I155" s="0" t="s">
        <v>177</v>
      </c>
    </row>
    <row r="156" customFormat="false" ht="15" hidden="false" customHeight="false" outlineLevel="0" collapsed="false">
      <c r="A156" s="2" t="n">
        <v>46008</v>
      </c>
      <c r="B156" s="3" t="s">
        <v>82</v>
      </c>
      <c r="C156" s="3" t="s">
        <v>16</v>
      </c>
      <c r="D156" s="4" t="n">
        <v>-17397.03</v>
      </c>
      <c r="E156" s="3" t="s">
        <v>203</v>
      </c>
      <c r="F156" s="3" t="s">
        <v>18</v>
      </c>
      <c r="G156" s="3" t="s">
        <v>83</v>
      </c>
      <c r="H156" s="3" t="s">
        <v>13</v>
      </c>
      <c r="I156" s="3" t="s">
        <v>177</v>
      </c>
    </row>
    <row r="157" customFormat="false" ht="15" hidden="false" customHeight="false" outlineLevel="0" collapsed="false">
      <c r="A157" s="5" t="n">
        <v>46009</v>
      </c>
      <c r="B157" s="0" t="s">
        <v>24</v>
      </c>
      <c r="C157" s="0" t="s">
        <v>27</v>
      </c>
      <c r="D157" s="6" t="n">
        <v>-37600.77</v>
      </c>
      <c r="E157" s="0" t="s">
        <v>204</v>
      </c>
      <c r="F157" s="0" t="s">
        <v>18</v>
      </c>
      <c r="G157" s="0" t="s">
        <v>25</v>
      </c>
      <c r="H157" s="0" t="s">
        <v>13</v>
      </c>
      <c r="I157" s="0" t="s">
        <v>177</v>
      </c>
    </row>
    <row r="158" customFormat="false" ht="15" hidden="false" customHeight="false" outlineLevel="0" collapsed="false">
      <c r="A158" s="2" t="n">
        <v>46009</v>
      </c>
      <c r="B158" s="3" t="s">
        <v>9</v>
      </c>
      <c r="C158" s="3" t="s">
        <v>37</v>
      </c>
      <c r="D158" s="4" t="n">
        <v>-27600.27</v>
      </c>
      <c r="E158" s="3" t="s">
        <v>205</v>
      </c>
      <c r="F158" s="3" t="s">
        <v>11</v>
      </c>
      <c r="G158" s="3" t="s">
        <v>12</v>
      </c>
      <c r="H158" s="3" t="s">
        <v>13</v>
      </c>
      <c r="I158" s="3" t="s">
        <v>177</v>
      </c>
    </row>
    <row r="159" customFormat="false" ht="15" hidden="false" customHeight="false" outlineLevel="0" collapsed="false">
      <c r="A159" s="5" t="n">
        <v>46010</v>
      </c>
      <c r="B159" s="0" t="s">
        <v>88</v>
      </c>
      <c r="C159" s="0" t="s">
        <v>33</v>
      </c>
      <c r="D159" s="6" t="n">
        <v>274067.11</v>
      </c>
      <c r="E159" s="0" t="s">
        <v>206</v>
      </c>
      <c r="F159" s="0" t="s">
        <v>18</v>
      </c>
      <c r="G159" s="0" t="s">
        <v>46</v>
      </c>
      <c r="H159" s="0" t="s">
        <v>13</v>
      </c>
      <c r="I159" s="0" t="s">
        <v>177</v>
      </c>
    </row>
    <row r="160" customFormat="false" ht="15" hidden="false" customHeight="false" outlineLevel="0" collapsed="false">
      <c r="A160" s="2" t="n">
        <v>46010</v>
      </c>
      <c r="B160" s="3" t="s">
        <v>44</v>
      </c>
      <c r="C160" s="3" t="s">
        <v>62</v>
      </c>
      <c r="D160" s="4" t="n">
        <v>172294.47</v>
      </c>
      <c r="E160" s="3" t="s">
        <v>207</v>
      </c>
      <c r="F160" s="3" t="s">
        <v>18</v>
      </c>
      <c r="G160" s="3" t="s">
        <v>46</v>
      </c>
      <c r="H160" s="3" t="s">
        <v>13</v>
      </c>
      <c r="I160" s="3" t="s">
        <v>177</v>
      </c>
    </row>
    <row r="161" customFormat="false" ht="15" hidden="false" customHeight="false" outlineLevel="0" collapsed="false">
      <c r="A161" s="5" t="n">
        <v>46011</v>
      </c>
      <c r="B161" s="0" t="s">
        <v>71</v>
      </c>
      <c r="C161" s="0" t="s">
        <v>33</v>
      </c>
      <c r="D161" s="6" t="n">
        <v>61367.58</v>
      </c>
      <c r="E161" s="0" t="s">
        <v>208</v>
      </c>
      <c r="F161" s="0" t="s">
        <v>11</v>
      </c>
      <c r="G161" s="0" t="s">
        <v>46</v>
      </c>
      <c r="H161" s="0" t="s">
        <v>13</v>
      </c>
      <c r="I161" s="0" t="s">
        <v>177</v>
      </c>
    </row>
    <row r="162" customFormat="false" ht="15" hidden="false" customHeight="false" outlineLevel="0" collapsed="false">
      <c r="A162" s="2" t="n">
        <v>46011</v>
      </c>
      <c r="B162" s="3" t="s">
        <v>116</v>
      </c>
      <c r="C162" s="3" t="s">
        <v>27</v>
      </c>
      <c r="D162" s="4" t="n">
        <v>-2097.51</v>
      </c>
      <c r="E162" s="3"/>
      <c r="F162" s="3" t="s">
        <v>11</v>
      </c>
      <c r="G162" s="3" t="s">
        <v>52</v>
      </c>
      <c r="H162" s="3" t="s">
        <v>13</v>
      </c>
      <c r="I162" s="3" t="s">
        <v>177</v>
      </c>
    </row>
    <row r="163" customFormat="false" ht="15" hidden="false" customHeight="false" outlineLevel="0" collapsed="false">
      <c r="A163" s="5" t="n">
        <v>46012</v>
      </c>
      <c r="B163" s="0" t="s">
        <v>99</v>
      </c>
      <c r="C163" s="0" t="s">
        <v>62</v>
      </c>
      <c r="D163" s="6" t="n">
        <v>94569.12</v>
      </c>
      <c r="F163" s="0" t="s">
        <v>11</v>
      </c>
      <c r="G163" s="0" t="s">
        <v>46</v>
      </c>
      <c r="H163" s="0" t="s">
        <v>13</v>
      </c>
      <c r="I163" s="0" t="s">
        <v>177</v>
      </c>
    </row>
    <row r="164" customFormat="false" ht="15" hidden="false" customHeight="false" outlineLevel="0" collapsed="false">
      <c r="A164" s="2" t="n">
        <v>46012</v>
      </c>
      <c r="B164" s="3" t="s">
        <v>50</v>
      </c>
      <c r="C164" s="3" t="s">
        <v>16</v>
      </c>
      <c r="D164" s="4" t="n">
        <v>-38116.02</v>
      </c>
      <c r="E164" s="3" t="s">
        <v>209</v>
      </c>
      <c r="F164" s="3" t="s">
        <v>18</v>
      </c>
      <c r="G164" s="3" t="s">
        <v>52</v>
      </c>
      <c r="H164" s="3" t="s">
        <v>13</v>
      </c>
      <c r="I164" s="3" t="s">
        <v>177</v>
      </c>
    </row>
    <row r="165" customFormat="false" ht="15" hidden="false" customHeight="false" outlineLevel="0" collapsed="false">
      <c r="A165" s="5" t="n">
        <v>46013</v>
      </c>
      <c r="B165" s="0" t="s">
        <v>88</v>
      </c>
      <c r="C165" s="0" t="s">
        <v>62</v>
      </c>
      <c r="D165" s="6" t="n">
        <v>345748.53</v>
      </c>
      <c r="E165" s="0" t="s">
        <v>210</v>
      </c>
      <c r="F165" s="0" t="s">
        <v>11</v>
      </c>
      <c r="G165" s="0" t="s">
        <v>46</v>
      </c>
      <c r="H165" s="0" t="s">
        <v>13</v>
      </c>
      <c r="I165" s="0" t="s">
        <v>177</v>
      </c>
    </row>
    <row r="166" customFormat="false" ht="15" hidden="false" customHeight="false" outlineLevel="0" collapsed="false">
      <c r="A166" s="2" t="n">
        <v>46014</v>
      </c>
      <c r="B166" s="3" t="s">
        <v>44</v>
      </c>
      <c r="C166" s="3" t="s">
        <v>33</v>
      </c>
      <c r="D166" s="4" t="n">
        <v>77358.34</v>
      </c>
      <c r="E166" s="3"/>
      <c r="F166" s="3" t="s">
        <v>11</v>
      </c>
      <c r="G166" s="3" t="s">
        <v>46</v>
      </c>
      <c r="H166" s="3" t="s">
        <v>13</v>
      </c>
      <c r="I166" s="3" t="s">
        <v>177</v>
      </c>
    </row>
    <row r="167" customFormat="false" ht="15" hidden="false" customHeight="false" outlineLevel="0" collapsed="false">
      <c r="A167" s="5" t="n">
        <v>46015</v>
      </c>
      <c r="B167" s="0" t="s">
        <v>54</v>
      </c>
      <c r="C167" s="0" t="s">
        <v>55</v>
      </c>
      <c r="D167" s="6" t="n">
        <v>-199065.73</v>
      </c>
      <c r="F167" s="0" t="s">
        <v>30</v>
      </c>
      <c r="G167" s="7" t="s">
        <v>55</v>
      </c>
      <c r="H167" s="0" t="s">
        <v>36</v>
      </c>
      <c r="I167" s="0" t="s">
        <v>177</v>
      </c>
    </row>
    <row r="168" customFormat="false" ht="15" hidden="false" customHeight="false" outlineLevel="0" collapsed="false">
      <c r="A168" s="2" t="n">
        <v>46015</v>
      </c>
      <c r="B168" s="3" t="s">
        <v>42</v>
      </c>
      <c r="C168" s="3" t="s">
        <v>37</v>
      </c>
      <c r="D168" s="4" t="n">
        <v>-4583.22</v>
      </c>
      <c r="E168" s="3" t="s">
        <v>211</v>
      </c>
      <c r="F168" s="3" t="s">
        <v>18</v>
      </c>
      <c r="G168" s="3" t="s">
        <v>43</v>
      </c>
      <c r="H168" s="3" t="s">
        <v>13</v>
      </c>
      <c r="I168" s="3" t="s">
        <v>177</v>
      </c>
    </row>
    <row r="169" customFormat="false" ht="15" hidden="false" customHeight="false" outlineLevel="0" collapsed="false">
      <c r="A169" s="5" t="n">
        <v>46016</v>
      </c>
      <c r="B169" s="0" t="s">
        <v>101</v>
      </c>
      <c r="C169" s="0" t="s">
        <v>37</v>
      </c>
      <c r="D169" s="6" t="n">
        <v>-43593.74</v>
      </c>
      <c r="E169" s="0" t="s">
        <v>212</v>
      </c>
      <c r="F169" s="0" t="s">
        <v>11</v>
      </c>
      <c r="G169" s="0" t="s">
        <v>52</v>
      </c>
      <c r="H169" s="0" t="s">
        <v>13</v>
      </c>
      <c r="I169" s="0" t="s">
        <v>177</v>
      </c>
    </row>
    <row r="170" customFormat="false" ht="15" hidden="false" customHeight="false" outlineLevel="0" collapsed="false">
      <c r="A170" s="2" t="n">
        <v>46017</v>
      </c>
      <c r="B170" s="3" t="s">
        <v>9</v>
      </c>
      <c r="C170" s="3" t="s">
        <v>37</v>
      </c>
      <c r="D170" s="4" t="n">
        <v>-26776.92</v>
      </c>
      <c r="E170" s="3"/>
      <c r="F170" s="3" t="s">
        <v>11</v>
      </c>
      <c r="G170" s="3" t="s">
        <v>12</v>
      </c>
      <c r="H170" s="3" t="s">
        <v>13</v>
      </c>
      <c r="I170" s="3" t="s">
        <v>177</v>
      </c>
    </row>
    <row r="171" customFormat="false" ht="15" hidden="false" customHeight="false" outlineLevel="0" collapsed="false">
      <c r="A171" s="5" t="n">
        <v>46017</v>
      </c>
      <c r="B171" s="0" t="s">
        <v>68</v>
      </c>
      <c r="C171" s="0" t="s">
        <v>69</v>
      </c>
      <c r="D171" s="6" t="n">
        <v>1170.1</v>
      </c>
      <c r="E171" s="0" t="s">
        <v>213</v>
      </c>
      <c r="F171" s="0" t="s">
        <v>11</v>
      </c>
      <c r="G171" s="7" t="s">
        <v>69</v>
      </c>
      <c r="H171" s="0" t="s">
        <v>36</v>
      </c>
      <c r="I171" s="0" t="s">
        <v>177</v>
      </c>
    </row>
    <row r="172" customFormat="false" ht="15" hidden="false" customHeight="false" outlineLevel="0" collapsed="false">
      <c r="A172" s="2" t="n">
        <v>46017</v>
      </c>
      <c r="B172" s="3" t="s">
        <v>50</v>
      </c>
      <c r="C172" s="3" t="s">
        <v>27</v>
      </c>
      <c r="D172" s="4" t="n">
        <v>-17455.63</v>
      </c>
      <c r="E172" s="3" t="s">
        <v>214</v>
      </c>
      <c r="F172" s="3" t="s">
        <v>11</v>
      </c>
      <c r="G172" s="3" t="s">
        <v>52</v>
      </c>
      <c r="H172" s="3" t="s">
        <v>13</v>
      </c>
      <c r="I172" s="3" t="s">
        <v>177</v>
      </c>
    </row>
    <row r="173" customFormat="false" ht="15" hidden="false" customHeight="false" outlineLevel="0" collapsed="false">
      <c r="A173" s="5" t="n">
        <v>46017</v>
      </c>
      <c r="B173" s="0" t="s">
        <v>44</v>
      </c>
      <c r="C173" s="0" t="s">
        <v>72</v>
      </c>
      <c r="D173" s="6" t="n">
        <v>336240.77</v>
      </c>
      <c r="E173" s="0" t="s">
        <v>215</v>
      </c>
      <c r="F173" s="0" t="s">
        <v>11</v>
      </c>
      <c r="G173" s="0" t="s">
        <v>46</v>
      </c>
      <c r="H173" s="0" t="s">
        <v>13</v>
      </c>
      <c r="I173" s="0" t="s">
        <v>177</v>
      </c>
    </row>
    <row r="174" customFormat="false" ht="15" hidden="false" customHeight="false" outlineLevel="0" collapsed="false">
      <c r="A174" s="2" t="n">
        <v>46018</v>
      </c>
      <c r="B174" s="3" t="s">
        <v>21</v>
      </c>
      <c r="C174" s="3" t="s">
        <v>27</v>
      </c>
      <c r="D174" s="4" t="n">
        <v>-70052.67</v>
      </c>
      <c r="E174" s="3" t="s">
        <v>216</v>
      </c>
      <c r="F174" s="3" t="s">
        <v>11</v>
      </c>
      <c r="G174" s="3" t="s">
        <v>23</v>
      </c>
      <c r="H174" s="3" t="s">
        <v>13</v>
      </c>
      <c r="I174" s="3" t="s">
        <v>177</v>
      </c>
    </row>
    <row r="175" customFormat="false" ht="15" hidden="false" customHeight="false" outlineLevel="0" collapsed="false">
      <c r="A175" s="5" t="n">
        <v>46018</v>
      </c>
      <c r="B175" s="0" t="s">
        <v>54</v>
      </c>
      <c r="C175" s="0" t="s">
        <v>55</v>
      </c>
      <c r="D175" s="6" t="n">
        <v>-112110.02</v>
      </c>
      <c r="E175" s="0" t="s">
        <v>217</v>
      </c>
      <c r="F175" s="0" t="s">
        <v>18</v>
      </c>
      <c r="G175" s="7" t="s">
        <v>55</v>
      </c>
      <c r="H175" s="0" t="s">
        <v>36</v>
      </c>
      <c r="I175" s="0" t="s">
        <v>177</v>
      </c>
    </row>
    <row r="176" customFormat="false" ht="15" hidden="false" customHeight="false" outlineLevel="0" collapsed="false">
      <c r="A176" s="2" t="n">
        <v>46019</v>
      </c>
      <c r="B176" s="3" t="s">
        <v>116</v>
      </c>
      <c r="C176" s="3" t="s">
        <v>16</v>
      </c>
      <c r="D176" s="4" t="n">
        <v>-35785.51</v>
      </c>
      <c r="E176" s="3"/>
      <c r="F176" s="3" t="s">
        <v>11</v>
      </c>
      <c r="G176" s="3" t="s">
        <v>52</v>
      </c>
      <c r="H176" s="3" t="s">
        <v>13</v>
      </c>
      <c r="I176" s="3" t="s">
        <v>177</v>
      </c>
    </row>
    <row r="177" customFormat="false" ht="15" hidden="false" customHeight="false" outlineLevel="0" collapsed="false">
      <c r="A177" s="5" t="n">
        <v>46019</v>
      </c>
      <c r="B177" s="0" t="s">
        <v>21</v>
      </c>
      <c r="C177" s="0" t="s">
        <v>16</v>
      </c>
      <c r="D177" s="6" t="n">
        <v>-73813.96</v>
      </c>
      <c r="E177" s="0" t="s">
        <v>218</v>
      </c>
      <c r="F177" s="0" t="s">
        <v>11</v>
      </c>
      <c r="G177" s="0" t="s">
        <v>23</v>
      </c>
      <c r="H177" s="0" t="s">
        <v>13</v>
      </c>
      <c r="I177" s="0" t="s">
        <v>177</v>
      </c>
    </row>
    <row r="178" customFormat="false" ht="15" hidden="false" customHeight="false" outlineLevel="0" collapsed="false">
      <c r="A178" s="2" t="n">
        <v>46019</v>
      </c>
      <c r="B178" s="3" t="s">
        <v>48</v>
      </c>
      <c r="C178" s="3" t="s">
        <v>20</v>
      </c>
      <c r="D178" s="4" t="n">
        <v>-239663.89</v>
      </c>
      <c r="E178" s="3" t="s">
        <v>219</v>
      </c>
      <c r="F178" s="3" t="s">
        <v>11</v>
      </c>
      <c r="G178" s="3" t="s">
        <v>49</v>
      </c>
      <c r="H178" s="3" t="s">
        <v>13</v>
      </c>
      <c r="I178" s="3" t="s">
        <v>177</v>
      </c>
    </row>
    <row r="179" customFormat="false" ht="15" hidden="false" customHeight="false" outlineLevel="0" collapsed="false">
      <c r="A179" s="5" t="n">
        <v>46020</v>
      </c>
      <c r="B179" s="0" t="s">
        <v>54</v>
      </c>
      <c r="C179" s="0" t="s">
        <v>55</v>
      </c>
      <c r="D179" s="6" t="n">
        <v>-221826.2</v>
      </c>
      <c r="E179" s="0" t="s">
        <v>220</v>
      </c>
      <c r="F179" s="0" t="s">
        <v>11</v>
      </c>
      <c r="G179" s="7" t="s">
        <v>55</v>
      </c>
      <c r="H179" s="0" t="s">
        <v>36</v>
      </c>
      <c r="I179" s="0" t="s">
        <v>177</v>
      </c>
    </row>
    <row r="180" customFormat="false" ht="15" hidden="false" customHeight="false" outlineLevel="0" collapsed="false">
      <c r="A180" s="2" t="n">
        <v>46021</v>
      </c>
      <c r="B180" s="3" t="s">
        <v>93</v>
      </c>
      <c r="C180" s="3" t="s">
        <v>37</v>
      </c>
      <c r="D180" s="4" t="n">
        <v>-40791.19</v>
      </c>
      <c r="E180" s="3" t="s">
        <v>221</v>
      </c>
      <c r="F180" s="3" t="s">
        <v>30</v>
      </c>
      <c r="G180" s="3" t="s">
        <v>41</v>
      </c>
      <c r="H180" s="3" t="s">
        <v>13</v>
      </c>
      <c r="I180" s="3" t="s">
        <v>177</v>
      </c>
    </row>
    <row r="181" customFormat="false" ht="15" hidden="false" customHeight="false" outlineLevel="0" collapsed="false">
      <c r="A181" s="5" t="n">
        <v>46022</v>
      </c>
      <c r="B181" s="0" t="s">
        <v>71</v>
      </c>
      <c r="C181" s="0" t="s">
        <v>72</v>
      </c>
      <c r="D181" s="6" t="n">
        <v>324401.04</v>
      </c>
      <c r="E181" s="0" t="s">
        <v>222</v>
      </c>
      <c r="F181" s="0" t="s">
        <v>11</v>
      </c>
      <c r="G181" s="0" t="s">
        <v>46</v>
      </c>
      <c r="H181" s="0" t="s">
        <v>13</v>
      </c>
      <c r="I181" s="0" t="s">
        <v>177</v>
      </c>
    </row>
  </sheetData>
  <autoFilter ref="A1:I1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10"/>
  </cols>
  <sheetData>
    <row r="1" customFormat="false" ht="35.05" hidden="false" customHeight="false" outlineLevel="0" collapsed="false">
      <c r="A1" s="1" t="s">
        <v>223</v>
      </c>
      <c r="B1" s="1" t="s">
        <v>224</v>
      </c>
      <c r="C1" s="1" t="s">
        <v>1</v>
      </c>
      <c r="D1" s="1" t="s">
        <v>225</v>
      </c>
      <c r="E1" s="1" t="s">
        <v>226</v>
      </c>
      <c r="F1" s="1" t="s">
        <v>3</v>
      </c>
      <c r="G1" s="1" t="s">
        <v>2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</row>
    <row r="2" customFormat="false" ht="15" hidden="false" customHeight="false" outlineLevel="0" collapsed="false">
      <c r="A2" s="2" t="n">
        <v>45931</v>
      </c>
      <c r="B2" s="2" t="n">
        <v>45931</v>
      </c>
      <c r="C2" s="3" t="s">
        <v>235</v>
      </c>
      <c r="D2" s="3" t="s">
        <v>236</v>
      </c>
      <c r="E2" s="3" t="s">
        <v>25</v>
      </c>
      <c r="F2" s="4" t="n">
        <v>-215618.48</v>
      </c>
      <c r="G2" s="3" t="s">
        <v>237</v>
      </c>
      <c r="H2" s="3" t="s">
        <v>238</v>
      </c>
      <c r="I2" s="3" t="s">
        <v>239</v>
      </c>
      <c r="J2" s="3" t="s">
        <v>240</v>
      </c>
      <c r="K2" s="3" t="s">
        <v>19</v>
      </c>
      <c r="L2" s="3"/>
      <c r="M2" s="3"/>
      <c r="N2" s="3"/>
      <c r="O2" s="3" t="s">
        <v>14</v>
      </c>
    </row>
    <row r="3" customFormat="false" ht="15" hidden="false" customHeight="false" outlineLevel="0" collapsed="false">
      <c r="A3" s="5" t="n">
        <v>45931</v>
      </c>
      <c r="B3" s="5" t="n">
        <v>45931</v>
      </c>
      <c r="C3" s="0" t="s">
        <v>241</v>
      </c>
      <c r="D3" s="0" t="s">
        <v>242</v>
      </c>
      <c r="E3" s="0" t="s">
        <v>243</v>
      </c>
      <c r="F3" s="6" t="n">
        <v>246839.92</v>
      </c>
      <c r="G3" s="0" t="s">
        <v>244</v>
      </c>
      <c r="H3" s="0" t="s">
        <v>245</v>
      </c>
      <c r="I3" s="0" t="s">
        <v>246</v>
      </c>
      <c r="J3" s="0" t="s">
        <v>247</v>
      </c>
      <c r="K3" s="0" t="s">
        <v>243</v>
      </c>
      <c r="M3" s="8" t="s">
        <v>248</v>
      </c>
      <c r="O3" s="0" t="s">
        <v>14</v>
      </c>
    </row>
    <row r="4" customFormat="false" ht="15" hidden="false" customHeight="false" outlineLevel="0" collapsed="false">
      <c r="A4" s="2" t="n">
        <v>45932</v>
      </c>
      <c r="B4" s="2" t="n">
        <v>45932</v>
      </c>
      <c r="C4" s="3" t="s">
        <v>249</v>
      </c>
      <c r="D4" s="3" t="s">
        <v>250</v>
      </c>
      <c r="E4" s="3" t="s">
        <v>49</v>
      </c>
      <c r="F4" s="4" t="n">
        <v>-175574.61</v>
      </c>
      <c r="G4" s="3" t="s">
        <v>237</v>
      </c>
      <c r="H4" s="3" t="s">
        <v>251</v>
      </c>
      <c r="I4" s="3" t="s">
        <v>252</v>
      </c>
      <c r="J4" s="3" t="s">
        <v>253</v>
      </c>
      <c r="K4" s="3" t="s">
        <v>52</v>
      </c>
      <c r="L4" s="3"/>
      <c r="M4" s="3"/>
      <c r="N4" s="3"/>
      <c r="O4" s="3" t="s">
        <v>14</v>
      </c>
    </row>
    <row r="5" customFormat="false" ht="15" hidden="false" customHeight="false" outlineLevel="0" collapsed="false">
      <c r="A5" s="5" t="n">
        <v>45932</v>
      </c>
      <c r="B5" s="5" t="n">
        <v>45932</v>
      </c>
      <c r="C5" s="0" t="s">
        <v>254</v>
      </c>
      <c r="D5" s="0" t="s">
        <v>242</v>
      </c>
      <c r="E5" s="0" t="s">
        <v>255</v>
      </c>
      <c r="F5" s="6" t="n">
        <v>158793.6</v>
      </c>
      <c r="G5" s="0" t="s">
        <v>244</v>
      </c>
      <c r="H5" s="0" t="s">
        <v>256</v>
      </c>
      <c r="I5" s="0" t="s">
        <v>252</v>
      </c>
      <c r="J5" s="0" t="s">
        <v>247</v>
      </c>
      <c r="K5" s="0" t="s">
        <v>255</v>
      </c>
      <c r="M5" s="8" t="s">
        <v>248</v>
      </c>
      <c r="O5" s="0" t="s">
        <v>14</v>
      </c>
    </row>
    <row r="6" customFormat="false" ht="15" hidden="false" customHeight="false" outlineLevel="0" collapsed="false">
      <c r="A6" s="2" t="n">
        <v>45932</v>
      </c>
      <c r="B6" s="2" t="n">
        <v>45932</v>
      </c>
      <c r="C6" s="3" t="s">
        <v>257</v>
      </c>
      <c r="D6" s="3" t="s">
        <v>242</v>
      </c>
      <c r="E6" s="3" t="s">
        <v>258</v>
      </c>
      <c r="F6" s="4" t="n">
        <v>179780.66</v>
      </c>
      <c r="G6" s="3" t="s">
        <v>244</v>
      </c>
      <c r="H6" s="3" t="s">
        <v>259</v>
      </c>
      <c r="I6" s="3" t="s">
        <v>239</v>
      </c>
      <c r="J6" s="3" t="s">
        <v>260</v>
      </c>
      <c r="K6" s="3" t="s">
        <v>258</v>
      </c>
      <c r="L6" s="3"/>
      <c r="M6" s="3"/>
      <c r="N6" s="3"/>
      <c r="O6" s="3" t="s">
        <v>14</v>
      </c>
    </row>
    <row r="7" customFormat="false" ht="15" hidden="false" customHeight="false" outlineLevel="0" collapsed="false">
      <c r="A7" s="5" t="n">
        <v>45933</v>
      </c>
      <c r="B7" s="5" t="n">
        <v>45933</v>
      </c>
      <c r="C7" s="0" t="s">
        <v>261</v>
      </c>
      <c r="D7" s="0" t="s">
        <v>242</v>
      </c>
      <c r="E7" s="0" t="s">
        <v>262</v>
      </c>
      <c r="F7" s="6" t="n">
        <v>159022.17</v>
      </c>
      <c r="G7" s="0" t="s">
        <v>244</v>
      </c>
      <c r="H7" s="0" t="s">
        <v>263</v>
      </c>
      <c r="I7" s="0" t="s">
        <v>264</v>
      </c>
      <c r="J7" s="0" t="s">
        <v>265</v>
      </c>
      <c r="K7" s="0" t="s">
        <v>262</v>
      </c>
      <c r="O7" s="0" t="s">
        <v>14</v>
      </c>
    </row>
    <row r="8" customFormat="false" ht="15" hidden="false" customHeight="false" outlineLevel="0" collapsed="false">
      <c r="A8" s="2" t="n">
        <v>45934</v>
      </c>
      <c r="B8" s="2" t="n">
        <v>45904</v>
      </c>
      <c r="C8" s="3" t="s">
        <v>266</v>
      </c>
      <c r="D8" s="3" t="s">
        <v>250</v>
      </c>
      <c r="E8" s="3" t="s">
        <v>61</v>
      </c>
      <c r="F8" s="4" t="n">
        <v>-107673.43</v>
      </c>
      <c r="G8" s="3" t="s">
        <v>237</v>
      </c>
      <c r="H8" s="3"/>
      <c r="I8" s="3" t="s">
        <v>264</v>
      </c>
      <c r="J8" s="3" t="s">
        <v>267</v>
      </c>
      <c r="K8" s="3" t="s">
        <v>52</v>
      </c>
      <c r="L8" s="3" t="s">
        <v>268</v>
      </c>
      <c r="M8" s="3"/>
      <c r="N8" s="3" t="s">
        <v>269</v>
      </c>
      <c r="O8" s="3" t="s">
        <v>270</v>
      </c>
    </row>
    <row r="9" customFormat="false" ht="15" hidden="false" customHeight="false" outlineLevel="0" collapsed="false">
      <c r="A9" s="5" t="n">
        <v>45936</v>
      </c>
      <c r="B9" s="5" t="n">
        <v>45936</v>
      </c>
      <c r="C9" s="0" t="s">
        <v>271</v>
      </c>
      <c r="D9" s="0" t="s">
        <v>242</v>
      </c>
      <c r="E9" s="0" t="s">
        <v>272</v>
      </c>
      <c r="F9" s="6" t="n">
        <v>-80720.93</v>
      </c>
      <c r="G9" s="0" t="s">
        <v>237</v>
      </c>
      <c r="H9" s="0" t="s">
        <v>273</v>
      </c>
      <c r="I9" s="0" t="s">
        <v>246</v>
      </c>
      <c r="J9" s="0" t="s">
        <v>240</v>
      </c>
      <c r="K9" s="0" t="s">
        <v>19</v>
      </c>
      <c r="O9" s="0" t="s">
        <v>14</v>
      </c>
    </row>
    <row r="10" customFormat="false" ht="15" hidden="false" customHeight="false" outlineLevel="0" collapsed="false">
      <c r="A10" s="2" t="n">
        <v>45938</v>
      </c>
      <c r="B10" s="2" t="n">
        <v>45938</v>
      </c>
      <c r="C10" s="3" t="s">
        <v>274</v>
      </c>
      <c r="D10" s="3" t="s">
        <v>236</v>
      </c>
      <c r="E10" s="3" t="s">
        <v>272</v>
      </c>
      <c r="F10" s="4" t="n">
        <v>-244353.45</v>
      </c>
      <c r="G10" s="3" t="s">
        <v>237</v>
      </c>
      <c r="H10" s="3"/>
      <c r="I10" s="3" t="s">
        <v>264</v>
      </c>
      <c r="J10" s="3" t="s">
        <v>275</v>
      </c>
      <c r="K10" s="3" t="s">
        <v>23</v>
      </c>
      <c r="L10" s="3"/>
      <c r="M10" s="3"/>
      <c r="N10" s="3" t="s">
        <v>269</v>
      </c>
      <c r="O10" s="3" t="s">
        <v>14</v>
      </c>
    </row>
    <row r="11" customFormat="false" ht="15" hidden="false" customHeight="false" outlineLevel="0" collapsed="false">
      <c r="A11" s="5" t="n">
        <v>45938</v>
      </c>
      <c r="B11" s="5" t="n">
        <v>45908</v>
      </c>
      <c r="C11" s="0" t="s">
        <v>276</v>
      </c>
      <c r="D11" s="0" t="s">
        <v>277</v>
      </c>
      <c r="E11" s="0" t="s">
        <v>52</v>
      </c>
      <c r="F11" s="6" t="n">
        <v>-169848.16</v>
      </c>
      <c r="G11" s="0" t="s">
        <v>237</v>
      </c>
      <c r="H11" s="0" t="s">
        <v>278</v>
      </c>
      <c r="I11" s="0" t="s">
        <v>246</v>
      </c>
      <c r="J11" s="0" t="s">
        <v>279</v>
      </c>
      <c r="K11" s="0" t="s">
        <v>52</v>
      </c>
      <c r="L11" s="7" t="s">
        <v>268</v>
      </c>
      <c r="O11" s="0" t="s">
        <v>270</v>
      </c>
    </row>
    <row r="12" customFormat="false" ht="15" hidden="false" customHeight="false" outlineLevel="0" collapsed="false">
      <c r="A12" s="2" t="n">
        <v>45938</v>
      </c>
      <c r="B12" s="2" t="n">
        <v>45908</v>
      </c>
      <c r="C12" s="3" t="s">
        <v>280</v>
      </c>
      <c r="D12" s="3" t="s">
        <v>250</v>
      </c>
      <c r="E12" s="3" t="s">
        <v>43</v>
      </c>
      <c r="F12" s="4" t="n">
        <v>-42510.15</v>
      </c>
      <c r="G12" s="3" t="s">
        <v>237</v>
      </c>
      <c r="H12" s="3" t="s">
        <v>281</v>
      </c>
      <c r="I12" s="3" t="s">
        <v>264</v>
      </c>
      <c r="J12" s="3" t="s">
        <v>282</v>
      </c>
      <c r="K12" s="3" t="s">
        <v>52</v>
      </c>
      <c r="L12" s="3" t="s">
        <v>268</v>
      </c>
      <c r="M12" s="3"/>
      <c r="N12" s="3"/>
      <c r="O12" s="3" t="s">
        <v>270</v>
      </c>
    </row>
    <row r="13" customFormat="false" ht="15" hidden="false" customHeight="false" outlineLevel="0" collapsed="false">
      <c r="A13" s="5" t="n">
        <v>45938</v>
      </c>
      <c r="B13" s="5" t="n">
        <v>45878</v>
      </c>
      <c r="C13" s="0" t="s">
        <v>283</v>
      </c>
      <c r="D13" s="0" t="s">
        <v>236</v>
      </c>
      <c r="E13" s="0" t="s">
        <v>43</v>
      </c>
      <c r="F13" s="6" t="n">
        <v>-245674.83</v>
      </c>
      <c r="G13" s="0" t="s">
        <v>237</v>
      </c>
      <c r="H13" s="0" t="s">
        <v>284</v>
      </c>
      <c r="I13" s="0" t="s">
        <v>264</v>
      </c>
      <c r="J13" s="0" t="s">
        <v>267</v>
      </c>
      <c r="K13" s="0" t="s">
        <v>52</v>
      </c>
      <c r="L13" s="7" t="s">
        <v>268</v>
      </c>
      <c r="O13" s="0" t="s">
        <v>285</v>
      </c>
    </row>
    <row r="14" customFormat="false" ht="15" hidden="false" customHeight="false" outlineLevel="0" collapsed="false">
      <c r="A14" s="2" t="n">
        <v>45939</v>
      </c>
      <c r="B14" s="2" t="n">
        <v>45879</v>
      </c>
      <c r="C14" s="3" t="s">
        <v>286</v>
      </c>
      <c r="D14" s="3" t="s">
        <v>277</v>
      </c>
      <c r="E14" s="3" t="s">
        <v>49</v>
      </c>
      <c r="F14" s="4" t="n">
        <v>-125076.15</v>
      </c>
      <c r="G14" s="3" t="s">
        <v>237</v>
      </c>
      <c r="H14" s="3" t="s">
        <v>287</v>
      </c>
      <c r="I14" s="3" t="s">
        <v>264</v>
      </c>
      <c r="J14" s="3" t="s">
        <v>288</v>
      </c>
      <c r="K14" s="3" t="s">
        <v>272</v>
      </c>
      <c r="L14" s="3" t="s">
        <v>268</v>
      </c>
      <c r="M14" s="3"/>
      <c r="N14" s="3"/>
      <c r="O14" s="3" t="s">
        <v>285</v>
      </c>
    </row>
    <row r="15" customFormat="false" ht="15" hidden="false" customHeight="false" outlineLevel="0" collapsed="false">
      <c r="A15" s="5" t="n">
        <v>45940</v>
      </c>
      <c r="B15" s="5" t="n">
        <v>45940</v>
      </c>
      <c r="C15" s="0" t="s">
        <v>289</v>
      </c>
      <c r="D15" s="0" t="s">
        <v>250</v>
      </c>
      <c r="E15" s="0" t="s">
        <v>23</v>
      </c>
      <c r="F15" s="6" t="n">
        <v>-248533.85</v>
      </c>
      <c r="G15" s="0" t="s">
        <v>237</v>
      </c>
      <c r="H15" s="0" t="s">
        <v>290</v>
      </c>
      <c r="I15" s="0" t="s">
        <v>246</v>
      </c>
      <c r="J15" s="0" t="s">
        <v>279</v>
      </c>
      <c r="K15" s="0" t="s">
        <v>52</v>
      </c>
      <c r="O15" s="0" t="s">
        <v>14</v>
      </c>
    </row>
    <row r="16" customFormat="false" ht="15" hidden="false" customHeight="false" outlineLevel="0" collapsed="false">
      <c r="A16" s="2" t="n">
        <v>45940</v>
      </c>
      <c r="B16" s="2" t="n">
        <v>45910</v>
      </c>
      <c r="C16" s="3" t="s">
        <v>291</v>
      </c>
      <c r="D16" s="3" t="s">
        <v>292</v>
      </c>
      <c r="E16" s="3" t="s">
        <v>23</v>
      </c>
      <c r="F16" s="4" t="n">
        <v>-129145.56</v>
      </c>
      <c r="G16" s="3" t="s">
        <v>237</v>
      </c>
      <c r="H16" s="3" t="s">
        <v>293</v>
      </c>
      <c r="I16" s="3" t="s">
        <v>264</v>
      </c>
      <c r="J16" s="3" t="s">
        <v>288</v>
      </c>
      <c r="K16" s="3" t="s">
        <v>272</v>
      </c>
      <c r="L16" s="3" t="s">
        <v>268</v>
      </c>
      <c r="M16" s="3"/>
      <c r="N16" s="3"/>
      <c r="O16" s="3" t="s">
        <v>270</v>
      </c>
    </row>
    <row r="17" customFormat="false" ht="15" hidden="false" customHeight="false" outlineLevel="0" collapsed="false">
      <c r="A17" s="5" t="n">
        <v>45940</v>
      </c>
      <c r="B17" s="5" t="n">
        <v>45940</v>
      </c>
      <c r="C17" s="0" t="s">
        <v>294</v>
      </c>
      <c r="D17" s="0" t="s">
        <v>292</v>
      </c>
      <c r="E17" s="0" t="s">
        <v>272</v>
      </c>
      <c r="F17" s="6" t="n">
        <v>-202420.02</v>
      </c>
      <c r="G17" s="0" t="s">
        <v>237</v>
      </c>
      <c r="I17" s="0" t="s">
        <v>239</v>
      </c>
      <c r="J17" s="0" t="s">
        <v>267</v>
      </c>
      <c r="K17" s="0" t="s">
        <v>52</v>
      </c>
      <c r="N17" s="8" t="s">
        <v>269</v>
      </c>
      <c r="O17" s="0" t="s">
        <v>14</v>
      </c>
    </row>
    <row r="18" customFormat="false" ht="15" hidden="false" customHeight="false" outlineLevel="0" collapsed="false">
      <c r="A18" s="2" t="n">
        <v>45941</v>
      </c>
      <c r="B18" s="2" t="n">
        <v>45941</v>
      </c>
      <c r="C18" s="3" t="s">
        <v>295</v>
      </c>
      <c r="D18" s="3" t="s">
        <v>242</v>
      </c>
      <c r="E18" s="3" t="s">
        <v>262</v>
      </c>
      <c r="F18" s="4" t="n">
        <v>291570.66</v>
      </c>
      <c r="G18" s="3" t="s">
        <v>244</v>
      </c>
      <c r="H18" s="3" t="s">
        <v>296</v>
      </c>
      <c r="I18" s="3" t="s">
        <v>264</v>
      </c>
      <c r="J18" s="3" t="s">
        <v>297</v>
      </c>
      <c r="K18" s="3" t="s">
        <v>262</v>
      </c>
      <c r="L18" s="3"/>
      <c r="M18" s="3" t="s">
        <v>248</v>
      </c>
      <c r="N18" s="3"/>
      <c r="O18" s="3" t="s">
        <v>14</v>
      </c>
    </row>
    <row r="19" customFormat="false" ht="15" hidden="false" customHeight="false" outlineLevel="0" collapsed="false">
      <c r="A19" s="5" t="n">
        <v>45941</v>
      </c>
      <c r="B19" s="5" t="n">
        <v>45881</v>
      </c>
      <c r="C19" s="0" t="s">
        <v>298</v>
      </c>
      <c r="D19" s="0" t="s">
        <v>277</v>
      </c>
      <c r="E19" s="0" t="s">
        <v>83</v>
      </c>
      <c r="F19" s="6" t="n">
        <v>-18839.92</v>
      </c>
      <c r="G19" s="0" t="s">
        <v>237</v>
      </c>
      <c r="H19" s="0" t="s">
        <v>299</v>
      </c>
      <c r="I19" s="0" t="s">
        <v>252</v>
      </c>
      <c r="J19" s="0" t="s">
        <v>288</v>
      </c>
      <c r="K19" s="0" t="s">
        <v>272</v>
      </c>
      <c r="L19" s="7" t="s">
        <v>268</v>
      </c>
      <c r="O19" s="0" t="s">
        <v>285</v>
      </c>
    </row>
    <row r="20" customFormat="false" ht="15" hidden="false" customHeight="false" outlineLevel="0" collapsed="false">
      <c r="A20" s="2" t="n">
        <v>45941</v>
      </c>
      <c r="B20" s="2" t="n">
        <v>45911</v>
      </c>
      <c r="C20" s="3" t="s">
        <v>300</v>
      </c>
      <c r="D20" s="3" t="s">
        <v>242</v>
      </c>
      <c r="E20" s="3" t="s">
        <v>243</v>
      </c>
      <c r="F20" s="4" t="n">
        <v>16279.8</v>
      </c>
      <c r="G20" s="3" t="s">
        <v>244</v>
      </c>
      <c r="H20" s="3" t="s">
        <v>301</v>
      </c>
      <c r="I20" s="3" t="s">
        <v>264</v>
      </c>
      <c r="J20" s="3" t="s">
        <v>302</v>
      </c>
      <c r="K20" s="3" t="s">
        <v>243</v>
      </c>
      <c r="L20" s="3" t="s">
        <v>268</v>
      </c>
      <c r="M20" s="3"/>
      <c r="N20" s="3"/>
      <c r="O20" s="3" t="s">
        <v>270</v>
      </c>
    </row>
    <row r="21" customFormat="false" ht="15" hidden="false" customHeight="false" outlineLevel="0" collapsed="false">
      <c r="A21" s="5" t="n">
        <v>45941</v>
      </c>
      <c r="B21" s="5" t="n">
        <v>45941</v>
      </c>
      <c r="C21" s="0" t="s">
        <v>303</v>
      </c>
      <c r="D21" s="0" t="s">
        <v>304</v>
      </c>
      <c r="E21" s="0" t="s">
        <v>52</v>
      </c>
      <c r="F21" s="6" t="n">
        <v>-99387.22</v>
      </c>
      <c r="G21" s="0" t="s">
        <v>237</v>
      </c>
      <c r="H21" s="0" t="s">
        <v>305</v>
      </c>
      <c r="I21" s="0" t="s">
        <v>264</v>
      </c>
      <c r="J21" s="0" t="s">
        <v>306</v>
      </c>
      <c r="K21" s="0" t="s">
        <v>307</v>
      </c>
      <c r="O21" s="0" t="s">
        <v>14</v>
      </c>
    </row>
    <row r="22" customFormat="false" ht="15" hidden="false" customHeight="false" outlineLevel="0" collapsed="false">
      <c r="A22" s="2" t="n">
        <v>45941</v>
      </c>
      <c r="B22" s="2" t="n">
        <v>45911</v>
      </c>
      <c r="C22" s="3" t="s">
        <v>308</v>
      </c>
      <c r="D22" s="3" t="s">
        <v>304</v>
      </c>
      <c r="E22" s="3" t="s">
        <v>258</v>
      </c>
      <c r="F22" s="4" t="n">
        <v>30816.52</v>
      </c>
      <c r="G22" s="3" t="s">
        <v>244</v>
      </c>
      <c r="H22" s="3" t="s">
        <v>309</v>
      </c>
      <c r="I22" s="3" t="s">
        <v>264</v>
      </c>
      <c r="J22" s="3" t="s">
        <v>310</v>
      </c>
      <c r="K22" s="3" t="s">
        <v>258</v>
      </c>
      <c r="L22" s="3" t="s">
        <v>268</v>
      </c>
      <c r="M22" s="3"/>
      <c r="N22" s="3"/>
      <c r="O22" s="3" t="s">
        <v>270</v>
      </c>
    </row>
    <row r="23" customFormat="false" ht="15" hidden="false" customHeight="false" outlineLevel="0" collapsed="false">
      <c r="A23" s="5" t="n">
        <v>45942</v>
      </c>
      <c r="B23" s="5" t="n">
        <v>45912</v>
      </c>
      <c r="C23" s="0" t="s">
        <v>311</v>
      </c>
      <c r="D23" s="0" t="s">
        <v>277</v>
      </c>
      <c r="E23" s="0" t="s">
        <v>272</v>
      </c>
      <c r="F23" s="6" t="n">
        <v>-89876.57</v>
      </c>
      <c r="G23" s="0" t="s">
        <v>237</v>
      </c>
      <c r="I23" s="0" t="s">
        <v>252</v>
      </c>
      <c r="J23" s="0" t="s">
        <v>306</v>
      </c>
      <c r="K23" s="0" t="s">
        <v>307</v>
      </c>
      <c r="L23" s="7" t="s">
        <v>268</v>
      </c>
      <c r="N23" s="8" t="s">
        <v>269</v>
      </c>
      <c r="O23" s="0" t="s">
        <v>270</v>
      </c>
    </row>
    <row r="24" customFormat="false" ht="15" hidden="false" customHeight="false" outlineLevel="0" collapsed="false">
      <c r="A24" s="2" t="n">
        <v>45943</v>
      </c>
      <c r="B24" s="2" t="n">
        <v>45913</v>
      </c>
      <c r="C24" s="3" t="s">
        <v>312</v>
      </c>
      <c r="D24" s="3" t="s">
        <v>236</v>
      </c>
      <c r="E24" s="3" t="s">
        <v>83</v>
      </c>
      <c r="F24" s="4" t="n">
        <v>-171493.52</v>
      </c>
      <c r="G24" s="3" t="s">
        <v>237</v>
      </c>
      <c r="H24" s="3" t="s">
        <v>313</v>
      </c>
      <c r="I24" s="3" t="s">
        <v>264</v>
      </c>
      <c r="J24" s="3" t="s">
        <v>267</v>
      </c>
      <c r="K24" s="3" t="s">
        <v>52</v>
      </c>
      <c r="L24" s="3" t="s">
        <v>268</v>
      </c>
      <c r="M24" s="3"/>
      <c r="N24" s="3"/>
      <c r="O24" s="3" t="s">
        <v>270</v>
      </c>
    </row>
    <row r="25" customFormat="false" ht="15" hidden="false" customHeight="false" outlineLevel="0" collapsed="false">
      <c r="A25" s="5" t="n">
        <v>45943</v>
      </c>
      <c r="B25" s="5" t="n">
        <v>45943</v>
      </c>
      <c r="C25" s="0" t="s">
        <v>314</v>
      </c>
      <c r="D25" s="0" t="s">
        <v>242</v>
      </c>
      <c r="E25" s="0" t="s">
        <v>255</v>
      </c>
      <c r="F25" s="6" t="n">
        <v>209819.43</v>
      </c>
      <c r="G25" s="0" t="s">
        <v>244</v>
      </c>
      <c r="H25" s="0" t="s">
        <v>315</v>
      </c>
      <c r="I25" s="0" t="s">
        <v>264</v>
      </c>
      <c r="J25" s="0" t="s">
        <v>265</v>
      </c>
      <c r="K25" s="0" t="s">
        <v>255</v>
      </c>
      <c r="M25" s="8" t="s">
        <v>248</v>
      </c>
      <c r="O25" s="0" t="s">
        <v>14</v>
      </c>
    </row>
    <row r="26" customFormat="false" ht="15" hidden="false" customHeight="false" outlineLevel="0" collapsed="false">
      <c r="A26" s="2" t="n">
        <v>45944</v>
      </c>
      <c r="B26" s="2" t="n">
        <v>45944</v>
      </c>
      <c r="C26" s="3" t="s">
        <v>312</v>
      </c>
      <c r="D26" s="3" t="s">
        <v>250</v>
      </c>
      <c r="E26" s="3" t="s">
        <v>83</v>
      </c>
      <c r="F26" s="4" t="n">
        <v>-130532.26</v>
      </c>
      <c r="G26" s="3" t="s">
        <v>237</v>
      </c>
      <c r="H26" s="3" t="s">
        <v>316</v>
      </c>
      <c r="I26" s="3" t="s">
        <v>239</v>
      </c>
      <c r="J26" s="3" t="s">
        <v>267</v>
      </c>
      <c r="K26" s="3" t="s">
        <v>52</v>
      </c>
      <c r="L26" s="3"/>
      <c r="M26" s="3"/>
      <c r="N26" s="3"/>
      <c r="O26" s="3" t="s">
        <v>14</v>
      </c>
    </row>
    <row r="27" customFormat="false" ht="15" hidden="false" customHeight="false" outlineLevel="0" collapsed="false">
      <c r="A27" s="5" t="n">
        <v>45944</v>
      </c>
      <c r="B27" s="5" t="n">
        <v>45944</v>
      </c>
      <c r="C27" s="0" t="s">
        <v>317</v>
      </c>
      <c r="D27" s="0" t="s">
        <v>304</v>
      </c>
      <c r="E27" s="0" t="s">
        <v>25</v>
      </c>
      <c r="F27" s="6" t="n">
        <v>-134213.17</v>
      </c>
      <c r="G27" s="0" t="s">
        <v>237</v>
      </c>
      <c r="H27" s="0" t="s">
        <v>318</v>
      </c>
      <c r="I27" s="0" t="s">
        <v>264</v>
      </c>
      <c r="J27" s="0" t="s">
        <v>253</v>
      </c>
      <c r="K27" s="0" t="s">
        <v>52</v>
      </c>
      <c r="O27" s="0" t="s">
        <v>14</v>
      </c>
    </row>
    <row r="28" customFormat="false" ht="15" hidden="false" customHeight="false" outlineLevel="0" collapsed="false">
      <c r="A28" s="2" t="n">
        <v>45945</v>
      </c>
      <c r="B28" s="2" t="n">
        <v>45885</v>
      </c>
      <c r="C28" s="3" t="s">
        <v>319</v>
      </c>
      <c r="D28" s="3" t="s">
        <v>304</v>
      </c>
      <c r="E28" s="3" t="s">
        <v>19</v>
      </c>
      <c r="F28" s="4" t="n">
        <v>-156591.03</v>
      </c>
      <c r="G28" s="3" t="s">
        <v>237</v>
      </c>
      <c r="H28" s="3" t="s">
        <v>320</v>
      </c>
      <c r="I28" s="3" t="s">
        <v>264</v>
      </c>
      <c r="J28" s="3" t="s">
        <v>240</v>
      </c>
      <c r="K28" s="3" t="s">
        <v>19</v>
      </c>
      <c r="L28" s="3" t="s">
        <v>268</v>
      </c>
      <c r="M28" s="3"/>
      <c r="N28" s="3"/>
      <c r="O28" s="3" t="s">
        <v>285</v>
      </c>
    </row>
    <row r="29" customFormat="false" ht="15" hidden="false" customHeight="false" outlineLevel="0" collapsed="false">
      <c r="A29" s="5" t="n">
        <v>45946</v>
      </c>
      <c r="B29" s="5" t="n">
        <v>45886</v>
      </c>
      <c r="C29" s="0" t="s">
        <v>321</v>
      </c>
      <c r="D29" s="0" t="s">
        <v>304</v>
      </c>
      <c r="E29" s="0" t="s">
        <v>61</v>
      </c>
      <c r="F29" s="6" t="n">
        <v>-57622.24</v>
      </c>
      <c r="G29" s="0" t="s">
        <v>237</v>
      </c>
      <c r="I29" s="0" t="s">
        <v>239</v>
      </c>
      <c r="J29" s="0" t="s">
        <v>322</v>
      </c>
      <c r="K29" s="0" t="s">
        <v>52</v>
      </c>
      <c r="L29" s="7" t="s">
        <v>268</v>
      </c>
      <c r="N29" s="8" t="s">
        <v>269</v>
      </c>
      <c r="O29" s="0" t="s">
        <v>285</v>
      </c>
    </row>
    <row r="30" customFormat="false" ht="15" hidden="false" customHeight="false" outlineLevel="0" collapsed="false">
      <c r="A30" s="2" t="n">
        <v>45946</v>
      </c>
      <c r="B30" s="2" t="n">
        <v>45886</v>
      </c>
      <c r="C30" s="3" t="s">
        <v>317</v>
      </c>
      <c r="D30" s="3" t="s">
        <v>323</v>
      </c>
      <c r="E30" s="3" t="s">
        <v>25</v>
      </c>
      <c r="F30" s="4" t="n">
        <v>-131201.63</v>
      </c>
      <c r="G30" s="3" t="s">
        <v>237</v>
      </c>
      <c r="H30" s="3" t="s">
        <v>324</v>
      </c>
      <c r="I30" s="3" t="s">
        <v>252</v>
      </c>
      <c r="J30" s="3" t="s">
        <v>253</v>
      </c>
      <c r="K30" s="3" t="s">
        <v>52</v>
      </c>
      <c r="L30" s="3" t="s">
        <v>268</v>
      </c>
      <c r="M30" s="3"/>
      <c r="N30" s="3"/>
      <c r="O30" s="3" t="s">
        <v>285</v>
      </c>
    </row>
    <row r="31" customFormat="false" ht="15" hidden="false" customHeight="false" outlineLevel="0" collapsed="false">
      <c r="A31" s="5" t="n">
        <v>45946</v>
      </c>
      <c r="B31" s="5" t="n">
        <v>45946</v>
      </c>
      <c r="C31" s="0" t="s">
        <v>325</v>
      </c>
      <c r="D31" s="0" t="s">
        <v>242</v>
      </c>
      <c r="E31" s="0" t="s">
        <v>262</v>
      </c>
      <c r="F31" s="6" t="n">
        <v>79182.17</v>
      </c>
      <c r="G31" s="0" t="s">
        <v>244</v>
      </c>
      <c r="H31" s="0" t="s">
        <v>326</v>
      </c>
      <c r="I31" s="0" t="s">
        <v>264</v>
      </c>
      <c r="J31" s="0" t="s">
        <v>327</v>
      </c>
      <c r="K31" s="0" t="s">
        <v>262</v>
      </c>
      <c r="M31" s="8" t="s">
        <v>248</v>
      </c>
      <c r="O31" s="0" t="s">
        <v>14</v>
      </c>
    </row>
    <row r="32" customFormat="false" ht="15" hidden="false" customHeight="false" outlineLevel="0" collapsed="false">
      <c r="A32" s="2" t="n">
        <v>45946</v>
      </c>
      <c r="B32" s="2" t="n">
        <v>45946</v>
      </c>
      <c r="C32" s="3" t="s">
        <v>328</v>
      </c>
      <c r="D32" s="3" t="s">
        <v>250</v>
      </c>
      <c r="E32" s="3" t="s">
        <v>52</v>
      </c>
      <c r="F32" s="4" t="n">
        <v>-108572.52</v>
      </c>
      <c r="G32" s="3" t="s">
        <v>237</v>
      </c>
      <c r="H32" s="3" t="s">
        <v>329</v>
      </c>
      <c r="I32" s="3" t="s">
        <v>252</v>
      </c>
      <c r="J32" s="3" t="s">
        <v>330</v>
      </c>
      <c r="K32" s="3" t="s">
        <v>23</v>
      </c>
      <c r="L32" s="3"/>
      <c r="M32" s="3"/>
      <c r="N32" s="3"/>
      <c r="O32" s="3" t="s">
        <v>14</v>
      </c>
    </row>
    <row r="33" customFormat="false" ht="15" hidden="false" customHeight="false" outlineLevel="0" collapsed="false">
      <c r="A33" s="5" t="n">
        <v>45947</v>
      </c>
      <c r="B33" s="5" t="n">
        <v>45917</v>
      </c>
      <c r="C33" s="0" t="s">
        <v>331</v>
      </c>
      <c r="D33" s="0" t="s">
        <v>292</v>
      </c>
      <c r="E33" s="0" t="s">
        <v>307</v>
      </c>
      <c r="F33" s="6" t="n">
        <v>-249898.96</v>
      </c>
      <c r="G33" s="0" t="s">
        <v>237</v>
      </c>
      <c r="H33" s="0" t="s">
        <v>332</v>
      </c>
      <c r="I33" s="0" t="s">
        <v>264</v>
      </c>
      <c r="J33" s="0" t="s">
        <v>275</v>
      </c>
      <c r="K33" s="0" t="s">
        <v>23</v>
      </c>
      <c r="L33" s="7" t="s">
        <v>268</v>
      </c>
      <c r="O33" s="0" t="s">
        <v>270</v>
      </c>
    </row>
    <row r="34" customFormat="false" ht="15" hidden="false" customHeight="false" outlineLevel="0" collapsed="false">
      <c r="A34" s="2" t="n">
        <v>45947</v>
      </c>
      <c r="B34" s="2" t="n">
        <v>45947</v>
      </c>
      <c r="C34" s="3" t="s">
        <v>333</v>
      </c>
      <c r="D34" s="3" t="s">
        <v>277</v>
      </c>
      <c r="E34" s="3" t="s">
        <v>61</v>
      </c>
      <c r="F34" s="4" t="n">
        <v>-129581.32</v>
      </c>
      <c r="G34" s="3" t="s">
        <v>237</v>
      </c>
      <c r="H34" s="3"/>
      <c r="I34" s="3" t="s">
        <v>239</v>
      </c>
      <c r="J34" s="3" t="s">
        <v>334</v>
      </c>
      <c r="K34" s="3" t="s">
        <v>83</v>
      </c>
      <c r="L34" s="3"/>
      <c r="M34" s="3"/>
      <c r="N34" s="3" t="s">
        <v>269</v>
      </c>
      <c r="O34" s="3" t="s">
        <v>14</v>
      </c>
    </row>
    <row r="35" customFormat="false" ht="15" hidden="false" customHeight="false" outlineLevel="0" collapsed="false">
      <c r="A35" s="5" t="n">
        <v>45947</v>
      </c>
      <c r="B35" s="5" t="n">
        <v>45917</v>
      </c>
      <c r="C35" s="0" t="s">
        <v>335</v>
      </c>
      <c r="D35" s="0" t="s">
        <v>236</v>
      </c>
      <c r="E35" s="0" t="s">
        <v>49</v>
      </c>
      <c r="F35" s="6" t="n">
        <v>-6172.46</v>
      </c>
      <c r="G35" s="0" t="s">
        <v>237</v>
      </c>
      <c r="H35" s="0" t="s">
        <v>336</v>
      </c>
      <c r="I35" s="0" t="s">
        <v>264</v>
      </c>
      <c r="J35" s="0" t="s">
        <v>337</v>
      </c>
      <c r="K35" s="0" t="s">
        <v>272</v>
      </c>
      <c r="L35" s="7" t="s">
        <v>268</v>
      </c>
      <c r="O35" s="0" t="s">
        <v>270</v>
      </c>
    </row>
    <row r="36" customFormat="false" ht="15" hidden="false" customHeight="false" outlineLevel="0" collapsed="false">
      <c r="A36" s="2" t="n">
        <v>45947</v>
      </c>
      <c r="B36" s="2" t="n">
        <v>45947</v>
      </c>
      <c r="C36" s="3" t="s">
        <v>338</v>
      </c>
      <c r="D36" s="3" t="s">
        <v>277</v>
      </c>
      <c r="E36" s="3" t="s">
        <v>272</v>
      </c>
      <c r="F36" s="4" t="n">
        <v>-234424.94</v>
      </c>
      <c r="G36" s="3" t="s">
        <v>237</v>
      </c>
      <c r="H36" s="3"/>
      <c r="I36" s="3" t="s">
        <v>252</v>
      </c>
      <c r="J36" s="3" t="s">
        <v>253</v>
      </c>
      <c r="K36" s="3" t="s">
        <v>52</v>
      </c>
      <c r="L36" s="3"/>
      <c r="M36" s="3"/>
      <c r="N36" s="3" t="s">
        <v>269</v>
      </c>
      <c r="O36" s="3" t="s">
        <v>14</v>
      </c>
    </row>
    <row r="37" customFormat="false" ht="15" hidden="false" customHeight="false" outlineLevel="0" collapsed="false">
      <c r="A37" s="5" t="n">
        <v>45949</v>
      </c>
      <c r="B37" s="5" t="n">
        <v>45919</v>
      </c>
      <c r="C37" s="0" t="s">
        <v>294</v>
      </c>
      <c r="D37" s="0" t="s">
        <v>292</v>
      </c>
      <c r="E37" s="0" t="s">
        <v>272</v>
      </c>
      <c r="F37" s="6" t="n">
        <v>-122619.95</v>
      </c>
      <c r="G37" s="0" t="s">
        <v>237</v>
      </c>
      <c r="H37" s="0" t="s">
        <v>339</v>
      </c>
      <c r="I37" s="0" t="s">
        <v>252</v>
      </c>
      <c r="J37" s="0" t="s">
        <v>267</v>
      </c>
      <c r="K37" s="0" t="s">
        <v>52</v>
      </c>
      <c r="L37" s="7" t="s">
        <v>268</v>
      </c>
      <c r="O37" s="0" t="s">
        <v>270</v>
      </c>
    </row>
    <row r="38" customFormat="false" ht="15" hidden="false" customHeight="false" outlineLevel="0" collapsed="false">
      <c r="A38" s="2" t="n">
        <v>45949</v>
      </c>
      <c r="B38" s="2" t="n">
        <v>45919</v>
      </c>
      <c r="C38" s="3" t="s">
        <v>340</v>
      </c>
      <c r="D38" s="3" t="s">
        <v>242</v>
      </c>
      <c r="E38" s="3" t="s">
        <v>255</v>
      </c>
      <c r="F38" s="4" t="n">
        <v>314564.18</v>
      </c>
      <c r="G38" s="3" t="s">
        <v>244</v>
      </c>
      <c r="H38" s="3" t="s">
        <v>315</v>
      </c>
      <c r="I38" s="3" t="s">
        <v>239</v>
      </c>
      <c r="J38" s="3" t="s">
        <v>260</v>
      </c>
      <c r="K38" s="3" t="s">
        <v>255</v>
      </c>
      <c r="L38" s="3" t="s">
        <v>268</v>
      </c>
      <c r="M38" s="3" t="s">
        <v>248</v>
      </c>
      <c r="N38" s="3"/>
      <c r="O38" s="3" t="s">
        <v>270</v>
      </c>
    </row>
    <row r="39" customFormat="false" ht="15" hidden="false" customHeight="false" outlineLevel="0" collapsed="false">
      <c r="A39" s="5" t="n">
        <v>45950</v>
      </c>
      <c r="B39" s="5" t="n">
        <v>45950</v>
      </c>
      <c r="C39" s="0" t="s">
        <v>341</v>
      </c>
      <c r="D39" s="0" t="s">
        <v>304</v>
      </c>
      <c r="E39" s="0" t="s">
        <v>243</v>
      </c>
      <c r="F39" s="6" t="n">
        <v>279733.74</v>
      </c>
      <c r="G39" s="0" t="s">
        <v>244</v>
      </c>
      <c r="H39" s="0" t="s">
        <v>342</v>
      </c>
      <c r="I39" s="0" t="s">
        <v>264</v>
      </c>
      <c r="J39" s="0" t="s">
        <v>343</v>
      </c>
      <c r="K39" s="0" t="s">
        <v>243</v>
      </c>
      <c r="M39" s="8" t="s">
        <v>248</v>
      </c>
      <c r="O39" s="0" t="s">
        <v>14</v>
      </c>
    </row>
    <row r="40" customFormat="false" ht="15" hidden="false" customHeight="false" outlineLevel="0" collapsed="false">
      <c r="A40" s="2" t="n">
        <v>45950</v>
      </c>
      <c r="B40" s="2" t="n">
        <v>45950</v>
      </c>
      <c r="C40" s="3" t="s">
        <v>344</v>
      </c>
      <c r="D40" s="3" t="s">
        <v>323</v>
      </c>
      <c r="E40" s="3" t="s">
        <v>23</v>
      </c>
      <c r="F40" s="4" t="n">
        <v>-104285.87</v>
      </c>
      <c r="G40" s="3" t="s">
        <v>237</v>
      </c>
      <c r="H40" s="3" t="s">
        <v>345</v>
      </c>
      <c r="I40" s="3" t="s">
        <v>239</v>
      </c>
      <c r="J40" s="3" t="s">
        <v>334</v>
      </c>
      <c r="K40" s="3" t="s">
        <v>83</v>
      </c>
      <c r="L40" s="3"/>
      <c r="M40" s="3"/>
      <c r="N40" s="3"/>
      <c r="O40" s="3" t="s">
        <v>14</v>
      </c>
    </row>
    <row r="41" customFormat="false" ht="15" hidden="false" customHeight="false" outlineLevel="0" collapsed="false">
      <c r="A41" s="5" t="n">
        <v>45950</v>
      </c>
      <c r="B41" s="5" t="n">
        <v>45920</v>
      </c>
      <c r="C41" s="0" t="s">
        <v>271</v>
      </c>
      <c r="D41" s="0" t="s">
        <v>236</v>
      </c>
      <c r="E41" s="0" t="s">
        <v>272</v>
      </c>
      <c r="F41" s="6" t="n">
        <v>-208714.35</v>
      </c>
      <c r="G41" s="0" t="s">
        <v>237</v>
      </c>
      <c r="H41" s="0" t="s">
        <v>346</v>
      </c>
      <c r="I41" s="0" t="s">
        <v>264</v>
      </c>
      <c r="J41" s="0" t="s">
        <v>240</v>
      </c>
      <c r="K41" s="0" t="s">
        <v>19</v>
      </c>
      <c r="L41" s="7" t="s">
        <v>268</v>
      </c>
      <c r="O41" s="0" t="s">
        <v>270</v>
      </c>
    </row>
    <row r="42" customFormat="false" ht="15" hidden="false" customHeight="false" outlineLevel="0" collapsed="false">
      <c r="A42" s="2" t="n">
        <v>45952</v>
      </c>
      <c r="B42" s="2" t="n">
        <v>45952</v>
      </c>
      <c r="C42" s="3" t="s">
        <v>347</v>
      </c>
      <c r="D42" s="3" t="s">
        <v>250</v>
      </c>
      <c r="E42" s="3" t="s">
        <v>19</v>
      </c>
      <c r="F42" s="4" t="n">
        <v>-48878.97</v>
      </c>
      <c r="G42" s="3" t="s">
        <v>237</v>
      </c>
      <c r="H42" s="3" t="s">
        <v>348</v>
      </c>
      <c r="I42" s="3" t="s">
        <v>239</v>
      </c>
      <c r="J42" s="3" t="s">
        <v>275</v>
      </c>
      <c r="K42" s="3" t="s">
        <v>23</v>
      </c>
      <c r="L42" s="3"/>
      <c r="M42" s="3"/>
      <c r="N42" s="3"/>
      <c r="O42" s="3" t="s">
        <v>14</v>
      </c>
    </row>
    <row r="43" customFormat="false" ht="15" hidden="false" customHeight="false" outlineLevel="0" collapsed="false">
      <c r="A43" s="5" t="n">
        <v>45952</v>
      </c>
      <c r="B43" s="5" t="n">
        <v>45922</v>
      </c>
      <c r="C43" s="0" t="s">
        <v>349</v>
      </c>
      <c r="D43" s="0" t="s">
        <v>277</v>
      </c>
      <c r="E43" s="0" t="s">
        <v>350</v>
      </c>
      <c r="F43" s="6" t="n">
        <v>-180036.63</v>
      </c>
      <c r="G43" s="0" t="s">
        <v>237</v>
      </c>
      <c r="H43" s="0" t="s">
        <v>351</v>
      </c>
      <c r="I43" s="0" t="s">
        <v>239</v>
      </c>
      <c r="J43" s="0" t="s">
        <v>352</v>
      </c>
      <c r="K43" s="0" t="s">
        <v>52</v>
      </c>
      <c r="L43" s="7" t="s">
        <v>268</v>
      </c>
      <c r="O43" s="0" t="s">
        <v>270</v>
      </c>
    </row>
    <row r="44" customFormat="false" ht="15" hidden="false" customHeight="false" outlineLevel="0" collapsed="false">
      <c r="A44" s="2" t="n">
        <v>45952</v>
      </c>
      <c r="B44" s="2" t="n">
        <v>45952</v>
      </c>
      <c r="C44" s="3" t="s">
        <v>353</v>
      </c>
      <c r="D44" s="3" t="s">
        <v>323</v>
      </c>
      <c r="E44" s="3" t="s">
        <v>83</v>
      </c>
      <c r="F44" s="4" t="n">
        <v>-236897.04</v>
      </c>
      <c r="G44" s="3" t="s">
        <v>237</v>
      </c>
      <c r="H44" s="3" t="s">
        <v>354</v>
      </c>
      <c r="I44" s="3" t="s">
        <v>239</v>
      </c>
      <c r="J44" s="3" t="s">
        <v>279</v>
      </c>
      <c r="K44" s="3" t="s">
        <v>52</v>
      </c>
      <c r="L44" s="3"/>
      <c r="M44" s="3"/>
      <c r="N44" s="3"/>
      <c r="O44" s="3" t="s">
        <v>14</v>
      </c>
    </row>
    <row r="45" customFormat="false" ht="15" hidden="false" customHeight="false" outlineLevel="0" collapsed="false">
      <c r="A45" s="5" t="n">
        <v>45952</v>
      </c>
      <c r="B45" s="5" t="n">
        <v>45922</v>
      </c>
      <c r="C45" s="0" t="s">
        <v>355</v>
      </c>
      <c r="D45" s="0" t="s">
        <v>323</v>
      </c>
      <c r="E45" s="0" t="s">
        <v>307</v>
      </c>
      <c r="F45" s="6" t="n">
        <v>-67467.5</v>
      </c>
      <c r="G45" s="0" t="s">
        <v>237</v>
      </c>
      <c r="I45" s="0" t="s">
        <v>264</v>
      </c>
      <c r="J45" s="0" t="s">
        <v>322</v>
      </c>
      <c r="K45" s="0" t="s">
        <v>52</v>
      </c>
      <c r="L45" s="7" t="s">
        <v>268</v>
      </c>
      <c r="N45" s="8" t="s">
        <v>269</v>
      </c>
      <c r="O45" s="0" t="s">
        <v>270</v>
      </c>
    </row>
    <row r="46" customFormat="false" ht="15" hidden="false" customHeight="false" outlineLevel="0" collapsed="false">
      <c r="A46" s="2" t="n">
        <v>45952</v>
      </c>
      <c r="B46" s="2" t="n">
        <v>45922</v>
      </c>
      <c r="C46" s="3" t="s">
        <v>271</v>
      </c>
      <c r="D46" s="3" t="s">
        <v>277</v>
      </c>
      <c r="E46" s="3" t="s">
        <v>272</v>
      </c>
      <c r="F46" s="4" t="n">
        <v>-161862.53</v>
      </c>
      <c r="G46" s="3" t="s">
        <v>237</v>
      </c>
      <c r="H46" s="3" t="s">
        <v>356</v>
      </c>
      <c r="I46" s="3" t="s">
        <v>246</v>
      </c>
      <c r="J46" s="3" t="s">
        <v>240</v>
      </c>
      <c r="K46" s="3" t="s">
        <v>19</v>
      </c>
      <c r="L46" s="3" t="s">
        <v>268</v>
      </c>
      <c r="M46" s="3"/>
      <c r="N46" s="3"/>
      <c r="O46" s="3" t="s">
        <v>270</v>
      </c>
    </row>
    <row r="47" customFormat="false" ht="15" hidden="false" customHeight="false" outlineLevel="0" collapsed="false">
      <c r="A47" s="5" t="n">
        <v>45953</v>
      </c>
      <c r="B47" s="5" t="n">
        <v>45953</v>
      </c>
      <c r="C47" s="0" t="s">
        <v>357</v>
      </c>
      <c r="D47" s="0" t="s">
        <v>242</v>
      </c>
      <c r="E47" s="0" t="s">
        <v>307</v>
      </c>
      <c r="F47" s="6" t="n">
        <v>-44838.22</v>
      </c>
      <c r="G47" s="0" t="s">
        <v>237</v>
      </c>
      <c r="I47" s="0" t="s">
        <v>252</v>
      </c>
      <c r="J47" s="0" t="s">
        <v>279</v>
      </c>
      <c r="K47" s="0" t="s">
        <v>52</v>
      </c>
      <c r="N47" s="8" t="s">
        <v>269</v>
      </c>
      <c r="O47" s="0" t="s">
        <v>14</v>
      </c>
    </row>
    <row r="48" customFormat="false" ht="15" hidden="false" customHeight="false" outlineLevel="0" collapsed="false">
      <c r="A48" s="2" t="n">
        <v>45956</v>
      </c>
      <c r="B48" s="2" t="n">
        <v>45956</v>
      </c>
      <c r="C48" s="3" t="s">
        <v>358</v>
      </c>
      <c r="D48" s="3" t="s">
        <v>242</v>
      </c>
      <c r="E48" s="3" t="s">
        <v>258</v>
      </c>
      <c r="F48" s="4" t="n">
        <v>194971.67</v>
      </c>
      <c r="G48" s="3" t="s">
        <v>244</v>
      </c>
      <c r="H48" s="3" t="s">
        <v>359</v>
      </c>
      <c r="I48" s="3" t="s">
        <v>264</v>
      </c>
      <c r="J48" s="3" t="s">
        <v>302</v>
      </c>
      <c r="K48" s="3" t="s">
        <v>258</v>
      </c>
      <c r="L48" s="3"/>
      <c r="M48" s="3" t="s">
        <v>248</v>
      </c>
      <c r="N48" s="3"/>
      <c r="O48" s="3" t="s">
        <v>14</v>
      </c>
    </row>
    <row r="49" customFormat="false" ht="15" hidden="false" customHeight="false" outlineLevel="0" collapsed="false">
      <c r="A49" s="5" t="n">
        <v>45956</v>
      </c>
      <c r="B49" s="5" t="n">
        <v>45896</v>
      </c>
      <c r="C49" s="0" t="s">
        <v>360</v>
      </c>
      <c r="D49" s="0" t="s">
        <v>242</v>
      </c>
      <c r="E49" s="0" t="s">
        <v>243</v>
      </c>
      <c r="F49" s="6" t="n">
        <v>25546.81</v>
      </c>
      <c r="G49" s="0" t="s">
        <v>244</v>
      </c>
      <c r="H49" s="0" t="s">
        <v>361</v>
      </c>
      <c r="I49" s="0" t="s">
        <v>246</v>
      </c>
      <c r="J49" s="0" t="s">
        <v>310</v>
      </c>
      <c r="K49" s="0" t="s">
        <v>243</v>
      </c>
      <c r="L49" s="7" t="s">
        <v>268</v>
      </c>
      <c r="O49" s="0" t="s">
        <v>285</v>
      </c>
    </row>
    <row r="50" customFormat="false" ht="15" hidden="false" customHeight="false" outlineLevel="0" collapsed="false">
      <c r="A50" s="2" t="n">
        <v>45958</v>
      </c>
      <c r="B50" s="2" t="n">
        <v>45958</v>
      </c>
      <c r="C50" s="3" t="s">
        <v>362</v>
      </c>
      <c r="D50" s="3" t="s">
        <v>242</v>
      </c>
      <c r="E50" s="3" t="s">
        <v>255</v>
      </c>
      <c r="F50" s="4" t="n">
        <v>16954.06</v>
      </c>
      <c r="G50" s="3" t="s">
        <v>244</v>
      </c>
      <c r="H50" s="3" t="s">
        <v>363</v>
      </c>
      <c r="I50" s="3" t="s">
        <v>252</v>
      </c>
      <c r="J50" s="3" t="s">
        <v>343</v>
      </c>
      <c r="K50" s="3" t="s">
        <v>255</v>
      </c>
      <c r="L50" s="3"/>
      <c r="M50" s="3"/>
      <c r="N50" s="3"/>
      <c r="O50" s="3" t="s">
        <v>14</v>
      </c>
    </row>
    <row r="51" customFormat="false" ht="15" hidden="false" customHeight="false" outlineLevel="0" collapsed="false">
      <c r="A51" s="5" t="n">
        <v>45960</v>
      </c>
      <c r="B51" s="5" t="n">
        <v>45930</v>
      </c>
      <c r="C51" s="0" t="s">
        <v>362</v>
      </c>
      <c r="D51" s="0" t="s">
        <v>242</v>
      </c>
      <c r="E51" s="0" t="s">
        <v>255</v>
      </c>
      <c r="F51" s="6" t="n">
        <v>131905.13</v>
      </c>
      <c r="G51" s="0" t="s">
        <v>244</v>
      </c>
      <c r="H51" s="0" t="s">
        <v>359</v>
      </c>
      <c r="I51" s="0" t="s">
        <v>264</v>
      </c>
      <c r="J51" s="0" t="s">
        <v>343</v>
      </c>
      <c r="K51" s="0" t="s">
        <v>255</v>
      </c>
      <c r="L51" s="7" t="s">
        <v>268</v>
      </c>
      <c r="M51" s="8" t="s">
        <v>248</v>
      </c>
      <c r="O51" s="0" t="s">
        <v>270</v>
      </c>
    </row>
    <row r="52" customFormat="false" ht="15" hidden="false" customHeight="false" outlineLevel="0" collapsed="false">
      <c r="A52" s="2" t="n">
        <v>45960</v>
      </c>
      <c r="B52" s="2" t="n">
        <v>45930</v>
      </c>
      <c r="C52" s="3" t="s">
        <v>328</v>
      </c>
      <c r="D52" s="3" t="s">
        <v>242</v>
      </c>
      <c r="E52" s="3" t="s">
        <v>52</v>
      </c>
      <c r="F52" s="4" t="n">
        <v>-13169.63</v>
      </c>
      <c r="G52" s="3" t="s">
        <v>237</v>
      </c>
      <c r="H52" s="3" t="s">
        <v>364</v>
      </c>
      <c r="I52" s="3" t="s">
        <v>246</v>
      </c>
      <c r="J52" s="3" t="s">
        <v>330</v>
      </c>
      <c r="K52" s="3" t="s">
        <v>23</v>
      </c>
      <c r="L52" s="3" t="s">
        <v>268</v>
      </c>
      <c r="M52" s="3"/>
      <c r="N52" s="3"/>
      <c r="O52" s="3" t="s">
        <v>270</v>
      </c>
    </row>
    <row r="53" customFormat="false" ht="15" hidden="false" customHeight="false" outlineLevel="0" collapsed="false">
      <c r="A53" s="5" t="n">
        <v>45961</v>
      </c>
      <c r="B53" s="5" t="n">
        <v>45961</v>
      </c>
      <c r="C53" s="0" t="s">
        <v>365</v>
      </c>
      <c r="D53" s="0" t="s">
        <v>242</v>
      </c>
      <c r="E53" s="0" t="s">
        <v>255</v>
      </c>
      <c r="F53" s="6" t="n">
        <v>212827.65</v>
      </c>
      <c r="G53" s="0" t="s">
        <v>244</v>
      </c>
      <c r="H53" s="0" t="s">
        <v>366</v>
      </c>
      <c r="I53" s="0" t="s">
        <v>264</v>
      </c>
      <c r="J53" s="0" t="s">
        <v>302</v>
      </c>
      <c r="K53" s="0" t="s">
        <v>255</v>
      </c>
      <c r="M53" s="8" t="s">
        <v>248</v>
      </c>
      <c r="O53" s="0" t="s">
        <v>14</v>
      </c>
    </row>
    <row r="54" customFormat="false" ht="15" hidden="false" customHeight="false" outlineLevel="0" collapsed="false">
      <c r="A54" s="2" t="n">
        <v>45961</v>
      </c>
      <c r="B54" s="2" t="n">
        <v>45931</v>
      </c>
      <c r="C54" s="3" t="s">
        <v>311</v>
      </c>
      <c r="D54" s="3" t="s">
        <v>304</v>
      </c>
      <c r="E54" s="3" t="s">
        <v>272</v>
      </c>
      <c r="F54" s="4" t="n">
        <v>-131109.4</v>
      </c>
      <c r="G54" s="3" t="s">
        <v>237</v>
      </c>
      <c r="H54" s="3" t="s">
        <v>367</v>
      </c>
      <c r="I54" s="3" t="s">
        <v>252</v>
      </c>
      <c r="J54" s="3" t="s">
        <v>306</v>
      </c>
      <c r="K54" s="3" t="s">
        <v>307</v>
      </c>
      <c r="L54" s="3"/>
      <c r="M54" s="3"/>
      <c r="N54" s="3"/>
      <c r="O54" s="3" t="s">
        <v>14</v>
      </c>
    </row>
    <row r="55" customFormat="false" ht="15" hidden="false" customHeight="false" outlineLevel="0" collapsed="false">
      <c r="A55" s="5" t="n">
        <v>45961</v>
      </c>
      <c r="B55" s="5" t="n">
        <v>45961</v>
      </c>
      <c r="C55" s="0" t="s">
        <v>362</v>
      </c>
      <c r="D55" s="0" t="s">
        <v>242</v>
      </c>
      <c r="E55" s="0" t="s">
        <v>255</v>
      </c>
      <c r="F55" s="6" t="n">
        <v>53602.78</v>
      </c>
      <c r="G55" s="0" t="s">
        <v>244</v>
      </c>
      <c r="H55" s="0" t="s">
        <v>368</v>
      </c>
      <c r="I55" s="0" t="s">
        <v>264</v>
      </c>
      <c r="J55" s="0" t="s">
        <v>343</v>
      </c>
      <c r="K55" s="0" t="s">
        <v>255</v>
      </c>
      <c r="M55" s="8" t="s">
        <v>248</v>
      </c>
      <c r="O55" s="0" t="s">
        <v>14</v>
      </c>
    </row>
    <row r="56" customFormat="false" ht="15" hidden="false" customHeight="false" outlineLevel="0" collapsed="false">
      <c r="A56" s="2" t="n">
        <v>45961</v>
      </c>
      <c r="B56" s="2" t="n">
        <v>45961</v>
      </c>
      <c r="C56" s="3" t="s">
        <v>369</v>
      </c>
      <c r="D56" s="3" t="s">
        <v>242</v>
      </c>
      <c r="E56" s="3" t="s">
        <v>307</v>
      </c>
      <c r="F56" s="4" t="n">
        <v>-101651.44</v>
      </c>
      <c r="G56" s="3" t="s">
        <v>237</v>
      </c>
      <c r="H56" s="3" t="s">
        <v>370</v>
      </c>
      <c r="I56" s="3" t="s">
        <v>252</v>
      </c>
      <c r="J56" s="3" t="s">
        <v>334</v>
      </c>
      <c r="K56" s="3" t="s">
        <v>83</v>
      </c>
      <c r="L56" s="3"/>
      <c r="M56" s="3"/>
      <c r="N56" s="3"/>
      <c r="O56" s="3" t="s">
        <v>14</v>
      </c>
    </row>
    <row r="57" customFormat="false" ht="15" hidden="false" customHeight="false" outlineLevel="0" collapsed="false">
      <c r="A57" s="5" t="n">
        <v>45961</v>
      </c>
      <c r="B57" s="5" t="n">
        <v>45961</v>
      </c>
      <c r="C57" s="0" t="s">
        <v>371</v>
      </c>
      <c r="D57" s="0" t="s">
        <v>304</v>
      </c>
      <c r="E57" s="0" t="s">
        <v>262</v>
      </c>
      <c r="F57" s="6" t="n">
        <v>161413.29</v>
      </c>
      <c r="G57" s="0" t="s">
        <v>244</v>
      </c>
      <c r="H57" s="0" t="s">
        <v>372</v>
      </c>
      <c r="I57" s="0" t="s">
        <v>264</v>
      </c>
      <c r="J57" s="0" t="s">
        <v>373</v>
      </c>
      <c r="K57" s="0" t="s">
        <v>262</v>
      </c>
      <c r="M57" s="8" t="s">
        <v>248</v>
      </c>
      <c r="O57" s="0" t="s">
        <v>14</v>
      </c>
    </row>
    <row r="58" customFormat="false" ht="15" hidden="false" customHeight="false" outlineLevel="0" collapsed="false">
      <c r="A58" s="2" t="n">
        <v>45961</v>
      </c>
      <c r="B58" s="2" t="n">
        <v>45961</v>
      </c>
      <c r="C58" s="3" t="s">
        <v>374</v>
      </c>
      <c r="D58" s="3" t="s">
        <v>304</v>
      </c>
      <c r="E58" s="3" t="s">
        <v>272</v>
      </c>
      <c r="F58" s="4" t="n">
        <v>-205504.62</v>
      </c>
      <c r="G58" s="3" t="s">
        <v>237</v>
      </c>
      <c r="H58" s="3" t="s">
        <v>375</v>
      </c>
      <c r="I58" s="3" t="s">
        <v>264</v>
      </c>
      <c r="J58" s="3" t="s">
        <v>322</v>
      </c>
      <c r="K58" s="3" t="s">
        <v>52</v>
      </c>
      <c r="L58" s="3"/>
      <c r="M58" s="3"/>
      <c r="N58" s="3"/>
      <c r="O58" s="3" t="s">
        <v>14</v>
      </c>
    </row>
    <row r="59" customFormat="false" ht="15" hidden="false" customHeight="false" outlineLevel="0" collapsed="false">
      <c r="A59" s="5" t="n">
        <v>45962</v>
      </c>
      <c r="B59" s="5" t="n">
        <v>45902</v>
      </c>
      <c r="C59" s="0" t="s">
        <v>335</v>
      </c>
      <c r="D59" s="0" t="s">
        <v>250</v>
      </c>
      <c r="E59" s="0" t="s">
        <v>49</v>
      </c>
      <c r="F59" s="6" t="n">
        <v>-180421.54</v>
      </c>
      <c r="G59" s="0" t="s">
        <v>237</v>
      </c>
      <c r="I59" s="0" t="s">
        <v>246</v>
      </c>
      <c r="J59" s="0" t="s">
        <v>337</v>
      </c>
      <c r="K59" s="0" t="s">
        <v>272</v>
      </c>
      <c r="L59" s="7" t="s">
        <v>268</v>
      </c>
      <c r="N59" s="8" t="s">
        <v>269</v>
      </c>
      <c r="O59" s="0" t="s">
        <v>270</v>
      </c>
    </row>
    <row r="60" customFormat="false" ht="15" hidden="false" customHeight="false" outlineLevel="0" collapsed="false">
      <c r="A60" s="2" t="n">
        <v>45962</v>
      </c>
      <c r="B60" s="2" t="n">
        <v>45932</v>
      </c>
      <c r="C60" s="3" t="s">
        <v>325</v>
      </c>
      <c r="D60" s="3" t="s">
        <v>242</v>
      </c>
      <c r="E60" s="3" t="s">
        <v>262</v>
      </c>
      <c r="F60" s="4" t="n">
        <v>253542.69</v>
      </c>
      <c r="G60" s="3" t="s">
        <v>244</v>
      </c>
      <c r="H60" s="3" t="s">
        <v>368</v>
      </c>
      <c r="I60" s="3" t="s">
        <v>252</v>
      </c>
      <c r="J60" s="3" t="s">
        <v>327</v>
      </c>
      <c r="K60" s="3" t="s">
        <v>262</v>
      </c>
      <c r="L60" s="3" t="s">
        <v>268</v>
      </c>
      <c r="M60" s="3" t="s">
        <v>248</v>
      </c>
      <c r="N60" s="3"/>
      <c r="O60" s="3" t="s">
        <v>14</v>
      </c>
    </row>
    <row r="61" customFormat="false" ht="15" hidden="false" customHeight="false" outlineLevel="0" collapsed="false">
      <c r="A61" s="5" t="n">
        <v>45964</v>
      </c>
      <c r="B61" s="5" t="n">
        <v>45964</v>
      </c>
      <c r="C61" s="0" t="s">
        <v>376</v>
      </c>
      <c r="D61" s="0" t="s">
        <v>242</v>
      </c>
      <c r="E61" s="0" t="s">
        <v>243</v>
      </c>
      <c r="F61" s="6" t="n">
        <v>109171.31</v>
      </c>
      <c r="G61" s="0" t="s">
        <v>244</v>
      </c>
      <c r="H61" s="0" t="s">
        <v>377</v>
      </c>
      <c r="I61" s="0" t="s">
        <v>264</v>
      </c>
      <c r="J61" s="0" t="s">
        <v>327</v>
      </c>
      <c r="K61" s="0" t="s">
        <v>243</v>
      </c>
      <c r="M61" s="8" t="s">
        <v>248</v>
      </c>
      <c r="O61" s="0" t="s">
        <v>107</v>
      </c>
    </row>
    <row r="62" customFormat="false" ht="15" hidden="false" customHeight="false" outlineLevel="0" collapsed="false">
      <c r="A62" s="2" t="n">
        <v>45964</v>
      </c>
      <c r="B62" s="2" t="n">
        <v>45934</v>
      </c>
      <c r="C62" s="3" t="s">
        <v>378</v>
      </c>
      <c r="D62" s="3" t="s">
        <v>323</v>
      </c>
      <c r="E62" s="3" t="s">
        <v>272</v>
      </c>
      <c r="F62" s="4" t="n">
        <v>-149444.22</v>
      </c>
      <c r="G62" s="3" t="s">
        <v>237</v>
      </c>
      <c r="H62" s="3" t="s">
        <v>379</v>
      </c>
      <c r="I62" s="3" t="s">
        <v>264</v>
      </c>
      <c r="J62" s="3" t="s">
        <v>380</v>
      </c>
      <c r="K62" s="3" t="s">
        <v>43</v>
      </c>
      <c r="L62" s="3" t="s">
        <v>268</v>
      </c>
      <c r="M62" s="3"/>
      <c r="N62" s="3"/>
      <c r="O62" s="3" t="s">
        <v>14</v>
      </c>
    </row>
    <row r="63" customFormat="false" ht="15" hidden="false" customHeight="false" outlineLevel="0" collapsed="false">
      <c r="A63" s="5" t="n">
        <v>45966</v>
      </c>
      <c r="B63" s="5" t="n">
        <v>45936</v>
      </c>
      <c r="C63" s="0" t="s">
        <v>381</v>
      </c>
      <c r="D63" s="0" t="s">
        <v>277</v>
      </c>
      <c r="E63" s="0" t="s">
        <v>23</v>
      </c>
      <c r="F63" s="6" t="n">
        <v>-159559.38</v>
      </c>
      <c r="G63" s="0" t="s">
        <v>237</v>
      </c>
      <c r="H63" s="0" t="s">
        <v>382</v>
      </c>
      <c r="I63" s="0" t="s">
        <v>264</v>
      </c>
      <c r="J63" s="0" t="s">
        <v>330</v>
      </c>
      <c r="K63" s="0" t="s">
        <v>23</v>
      </c>
      <c r="L63" s="7" t="s">
        <v>268</v>
      </c>
      <c r="O63" s="0" t="s">
        <v>14</v>
      </c>
    </row>
    <row r="64" customFormat="false" ht="15" hidden="false" customHeight="false" outlineLevel="0" collapsed="false">
      <c r="A64" s="2" t="n">
        <v>45966</v>
      </c>
      <c r="B64" s="2" t="n">
        <v>45966</v>
      </c>
      <c r="C64" s="3" t="s">
        <v>383</v>
      </c>
      <c r="D64" s="3" t="s">
        <v>242</v>
      </c>
      <c r="E64" s="3" t="s">
        <v>258</v>
      </c>
      <c r="F64" s="4" t="n">
        <v>314037.36</v>
      </c>
      <c r="G64" s="3" t="s">
        <v>244</v>
      </c>
      <c r="H64" s="3" t="s">
        <v>256</v>
      </c>
      <c r="I64" s="3" t="s">
        <v>246</v>
      </c>
      <c r="J64" s="3" t="s">
        <v>247</v>
      </c>
      <c r="K64" s="3" t="s">
        <v>258</v>
      </c>
      <c r="L64" s="3"/>
      <c r="M64" s="3" t="s">
        <v>248</v>
      </c>
      <c r="N64" s="3"/>
      <c r="O64" s="3" t="s">
        <v>107</v>
      </c>
    </row>
    <row r="65" customFormat="false" ht="15" hidden="false" customHeight="false" outlineLevel="0" collapsed="false">
      <c r="A65" s="5" t="n">
        <v>45967</v>
      </c>
      <c r="B65" s="5" t="n">
        <v>45967</v>
      </c>
      <c r="C65" s="0" t="s">
        <v>308</v>
      </c>
      <c r="D65" s="0" t="s">
        <v>242</v>
      </c>
      <c r="E65" s="0" t="s">
        <v>258</v>
      </c>
      <c r="F65" s="6" t="n">
        <v>134189.02</v>
      </c>
      <c r="G65" s="0" t="s">
        <v>244</v>
      </c>
      <c r="H65" s="0" t="s">
        <v>384</v>
      </c>
      <c r="I65" s="0" t="s">
        <v>239</v>
      </c>
      <c r="J65" s="0" t="s">
        <v>310</v>
      </c>
      <c r="K65" s="0" t="s">
        <v>258</v>
      </c>
      <c r="M65" s="8" t="s">
        <v>248</v>
      </c>
      <c r="O65" s="0" t="s">
        <v>107</v>
      </c>
    </row>
    <row r="66" customFormat="false" ht="15" hidden="false" customHeight="false" outlineLevel="0" collapsed="false">
      <c r="A66" s="2" t="n">
        <v>45967</v>
      </c>
      <c r="B66" s="2" t="n">
        <v>45907</v>
      </c>
      <c r="C66" s="3" t="s">
        <v>385</v>
      </c>
      <c r="D66" s="3" t="s">
        <v>250</v>
      </c>
      <c r="E66" s="3" t="s">
        <v>23</v>
      </c>
      <c r="F66" s="4" t="n">
        <v>-114458.17</v>
      </c>
      <c r="G66" s="3" t="s">
        <v>237</v>
      </c>
      <c r="H66" s="3" t="s">
        <v>386</v>
      </c>
      <c r="I66" s="3" t="s">
        <v>252</v>
      </c>
      <c r="J66" s="3" t="s">
        <v>253</v>
      </c>
      <c r="K66" s="3" t="s">
        <v>52</v>
      </c>
      <c r="L66" s="3" t="s">
        <v>268</v>
      </c>
      <c r="M66" s="3"/>
      <c r="N66" s="3"/>
      <c r="O66" s="3" t="s">
        <v>270</v>
      </c>
    </row>
    <row r="67" customFormat="false" ht="15" hidden="false" customHeight="false" outlineLevel="0" collapsed="false">
      <c r="A67" s="5" t="n">
        <v>45968</v>
      </c>
      <c r="B67" s="5" t="n">
        <v>45968</v>
      </c>
      <c r="C67" s="0" t="s">
        <v>387</v>
      </c>
      <c r="D67" s="0" t="s">
        <v>242</v>
      </c>
      <c r="E67" s="0" t="s">
        <v>258</v>
      </c>
      <c r="F67" s="6" t="n">
        <v>65614.71</v>
      </c>
      <c r="G67" s="0" t="s">
        <v>244</v>
      </c>
      <c r="H67" s="0" t="s">
        <v>388</v>
      </c>
      <c r="I67" s="0" t="s">
        <v>264</v>
      </c>
      <c r="J67" s="0" t="s">
        <v>343</v>
      </c>
      <c r="K67" s="0" t="s">
        <v>258</v>
      </c>
      <c r="M67" s="8" t="s">
        <v>248</v>
      </c>
      <c r="O67" s="0" t="s">
        <v>107</v>
      </c>
    </row>
    <row r="68" customFormat="false" ht="15" hidden="false" customHeight="false" outlineLevel="0" collapsed="false">
      <c r="A68" s="2" t="n">
        <v>45968</v>
      </c>
      <c r="B68" s="2" t="n">
        <v>45968</v>
      </c>
      <c r="C68" s="3" t="s">
        <v>389</v>
      </c>
      <c r="D68" s="3" t="s">
        <v>242</v>
      </c>
      <c r="E68" s="3" t="s">
        <v>243</v>
      </c>
      <c r="F68" s="4" t="n">
        <v>323783.32</v>
      </c>
      <c r="G68" s="3" t="s">
        <v>244</v>
      </c>
      <c r="H68" s="3" t="s">
        <v>296</v>
      </c>
      <c r="I68" s="3" t="s">
        <v>264</v>
      </c>
      <c r="J68" s="3" t="s">
        <v>265</v>
      </c>
      <c r="K68" s="3" t="s">
        <v>243</v>
      </c>
      <c r="L68" s="3"/>
      <c r="M68" s="3" t="s">
        <v>248</v>
      </c>
      <c r="N68" s="3"/>
      <c r="O68" s="3" t="s">
        <v>107</v>
      </c>
    </row>
    <row r="69" customFormat="false" ht="15" hidden="false" customHeight="false" outlineLevel="0" collapsed="false">
      <c r="A69" s="5" t="n">
        <v>45968</v>
      </c>
      <c r="B69" s="5" t="n">
        <v>45968</v>
      </c>
      <c r="C69" s="0" t="s">
        <v>390</v>
      </c>
      <c r="D69" s="0" t="s">
        <v>292</v>
      </c>
      <c r="E69" s="0" t="s">
        <v>52</v>
      </c>
      <c r="F69" s="6" t="n">
        <v>-38719.8</v>
      </c>
      <c r="G69" s="0" t="s">
        <v>237</v>
      </c>
      <c r="H69" s="0" t="s">
        <v>391</v>
      </c>
      <c r="I69" s="0" t="s">
        <v>264</v>
      </c>
      <c r="J69" s="0" t="s">
        <v>267</v>
      </c>
      <c r="K69" s="0" t="s">
        <v>52</v>
      </c>
      <c r="O69" s="0" t="s">
        <v>107</v>
      </c>
    </row>
    <row r="70" customFormat="false" ht="15" hidden="false" customHeight="false" outlineLevel="0" collapsed="false">
      <c r="A70" s="2" t="n">
        <v>45969</v>
      </c>
      <c r="B70" s="2" t="n">
        <v>45969</v>
      </c>
      <c r="C70" s="3" t="s">
        <v>392</v>
      </c>
      <c r="D70" s="3" t="s">
        <v>323</v>
      </c>
      <c r="E70" s="3" t="s">
        <v>243</v>
      </c>
      <c r="F70" s="4" t="n">
        <v>161472.73</v>
      </c>
      <c r="G70" s="3" t="s">
        <v>244</v>
      </c>
      <c r="H70" s="3" t="s">
        <v>245</v>
      </c>
      <c r="I70" s="3" t="s">
        <v>264</v>
      </c>
      <c r="J70" s="3" t="s">
        <v>373</v>
      </c>
      <c r="K70" s="3" t="s">
        <v>243</v>
      </c>
      <c r="L70" s="3"/>
      <c r="M70" s="3" t="s">
        <v>248</v>
      </c>
      <c r="N70" s="3"/>
      <c r="O70" s="3" t="s">
        <v>107</v>
      </c>
    </row>
    <row r="71" customFormat="false" ht="15" hidden="false" customHeight="false" outlineLevel="0" collapsed="false">
      <c r="A71" s="5" t="n">
        <v>45969</v>
      </c>
      <c r="B71" s="5" t="n">
        <v>45939</v>
      </c>
      <c r="C71" s="0" t="s">
        <v>393</v>
      </c>
      <c r="D71" s="0" t="s">
        <v>250</v>
      </c>
      <c r="E71" s="0" t="s">
        <v>19</v>
      </c>
      <c r="F71" s="6" t="n">
        <v>-122716.74</v>
      </c>
      <c r="G71" s="0" t="s">
        <v>237</v>
      </c>
      <c r="H71" s="0" t="s">
        <v>394</v>
      </c>
      <c r="I71" s="0" t="s">
        <v>264</v>
      </c>
      <c r="J71" s="0" t="s">
        <v>337</v>
      </c>
      <c r="K71" s="0" t="s">
        <v>272</v>
      </c>
      <c r="L71" s="7" t="s">
        <v>268</v>
      </c>
      <c r="O71" s="0" t="s">
        <v>14</v>
      </c>
    </row>
    <row r="72" customFormat="false" ht="15" hidden="false" customHeight="false" outlineLevel="0" collapsed="false">
      <c r="A72" s="2" t="n">
        <v>45969</v>
      </c>
      <c r="B72" s="2" t="n">
        <v>45909</v>
      </c>
      <c r="C72" s="3" t="s">
        <v>395</v>
      </c>
      <c r="D72" s="3" t="s">
        <v>304</v>
      </c>
      <c r="E72" s="3" t="s">
        <v>61</v>
      </c>
      <c r="F72" s="4" t="n">
        <v>-140815.29</v>
      </c>
      <c r="G72" s="3" t="s">
        <v>237</v>
      </c>
      <c r="H72" s="3" t="s">
        <v>396</v>
      </c>
      <c r="I72" s="3" t="s">
        <v>264</v>
      </c>
      <c r="J72" s="3" t="s">
        <v>288</v>
      </c>
      <c r="K72" s="3" t="s">
        <v>272</v>
      </c>
      <c r="L72" s="3" t="s">
        <v>268</v>
      </c>
      <c r="M72" s="3"/>
      <c r="N72" s="3"/>
      <c r="O72" s="3" t="s">
        <v>270</v>
      </c>
    </row>
    <row r="73" customFormat="false" ht="15" hidden="false" customHeight="false" outlineLevel="0" collapsed="false">
      <c r="A73" s="5" t="n">
        <v>45969</v>
      </c>
      <c r="B73" s="5" t="n">
        <v>45969</v>
      </c>
      <c r="C73" s="0" t="s">
        <v>397</v>
      </c>
      <c r="D73" s="0" t="s">
        <v>242</v>
      </c>
      <c r="E73" s="0" t="s">
        <v>307</v>
      </c>
      <c r="F73" s="6" t="n">
        <v>-180364.41</v>
      </c>
      <c r="G73" s="0" t="s">
        <v>237</v>
      </c>
      <c r="H73" s="0" t="s">
        <v>398</v>
      </c>
      <c r="I73" s="0" t="s">
        <v>264</v>
      </c>
      <c r="J73" s="0" t="s">
        <v>253</v>
      </c>
      <c r="K73" s="0" t="s">
        <v>52</v>
      </c>
      <c r="O73" s="0" t="s">
        <v>107</v>
      </c>
    </row>
    <row r="74" customFormat="false" ht="15" hidden="false" customHeight="false" outlineLevel="0" collapsed="false">
      <c r="A74" s="2" t="n">
        <v>45970</v>
      </c>
      <c r="B74" s="2" t="n">
        <v>45970</v>
      </c>
      <c r="C74" s="3" t="s">
        <v>399</v>
      </c>
      <c r="D74" s="3" t="s">
        <v>242</v>
      </c>
      <c r="E74" s="3" t="s">
        <v>258</v>
      </c>
      <c r="F74" s="4" t="n">
        <v>338506.89</v>
      </c>
      <c r="G74" s="3" t="s">
        <v>244</v>
      </c>
      <c r="H74" s="3" t="s">
        <v>400</v>
      </c>
      <c r="I74" s="3" t="s">
        <v>264</v>
      </c>
      <c r="J74" s="3" t="s">
        <v>373</v>
      </c>
      <c r="K74" s="3" t="s">
        <v>258</v>
      </c>
      <c r="L74" s="3"/>
      <c r="M74" s="3"/>
      <c r="N74" s="3"/>
      <c r="O74" s="3" t="s">
        <v>107</v>
      </c>
    </row>
    <row r="75" customFormat="false" ht="15" hidden="false" customHeight="false" outlineLevel="0" collapsed="false">
      <c r="A75" s="5" t="n">
        <v>45971</v>
      </c>
      <c r="B75" s="5" t="n">
        <v>45941</v>
      </c>
      <c r="C75" s="0" t="s">
        <v>347</v>
      </c>
      <c r="D75" s="0" t="s">
        <v>250</v>
      </c>
      <c r="E75" s="0" t="s">
        <v>19</v>
      </c>
      <c r="F75" s="6" t="n">
        <v>-72945.39</v>
      </c>
      <c r="G75" s="0" t="s">
        <v>237</v>
      </c>
      <c r="H75" s="0" t="s">
        <v>401</v>
      </c>
      <c r="I75" s="0" t="s">
        <v>246</v>
      </c>
      <c r="J75" s="0" t="s">
        <v>275</v>
      </c>
      <c r="K75" s="0" t="s">
        <v>23</v>
      </c>
      <c r="L75" s="7" t="s">
        <v>268</v>
      </c>
      <c r="O75" s="0" t="s">
        <v>14</v>
      </c>
    </row>
    <row r="76" customFormat="false" ht="15" hidden="false" customHeight="false" outlineLevel="0" collapsed="false">
      <c r="A76" s="2" t="n">
        <v>45971</v>
      </c>
      <c r="B76" s="2" t="n">
        <v>45971</v>
      </c>
      <c r="C76" s="3" t="s">
        <v>402</v>
      </c>
      <c r="D76" s="3" t="s">
        <v>242</v>
      </c>
      <c r="E76" s="3" t="s">
        <v>243</v>
      </c>
      <c r="F76" s="4" t="n">
        <v>158433.87</v>
      </c>
      <c r="G76" s="3" t="s">
        <v>244</v>
      </c>
      <c r="H76" s="3" t="s">
        <v>366</v>
      </c>
      <c r="I76" s="3" t="s">
        <v>264</v>
      </c>
      <c r="J76" s="3" t="s">
        <v>260</v>
      </c>
      <c r="K76" s="3" t="s">
        <v>243</v>
      </c>
      <c r="L76" s="3"/>
      <c r="M76" s="3" t="s">
        <v>248</v>
      </c>
      <c r="N76" s="3"/>
      <c r="O76" s="3" t="s">
        <v>107</v>
      </c>
    </row>
    <row r="77" customFormat="false" ht="15" hidden="false" customHeight="false" outlineLevel="0" collapsed="false">
      <c r="A77" s="5" t="n">
        <v>45971</v>
      </c>
      <c r="B77" s="5" t="n">
        <v>45971</v>
      </c>
      <c r="C77" s="0" t="s">
        <v>403</v>
      </c>
      <c r="D77" s="0" t="s">
        <v>292</v>
      </c>
      <c r="E77" s="0" t="s">
        <v>43</v>
      </c>
      <c r="F77" s="6" t="n">
        <v>-92587.11</v>
      </c>
      <c r="G77" s="0" t="s">
        <v>237</v>
      </c>
      <c r="H77" s="0" t="s">
        <v>404</v>
      </c>
      <c r="I77" s="0" t="s">
        <v>239</v>
      </c>
      <c r="J77" s="0" t="s">
        <v>337</v>
      </c>
      <c r="K77" s="0" t="s">
        <v>272</v>
      </c>
      <c r="O77" s="0" t="s">
        <v>107</v>
      </c>
    </row>
    <row r="78" customFormat="false" ht="15" hidden="false" customHeight="false" outlineLevel="0" collapsed="false">
      <c r="A78" s="2" t="n">
        <v>45971</v>
      </c>
      <c r="B78" s="2" t="n">
        <v>45911</v>
      </c>
      <c r="C78" s="3" t="s">
        <v>335</v>
      </c>
      <c r="D78" s="3" t="s">
        <v>323</v>
      </c>
      <c r="E78" s="3" t="s">
        <v>49</v>
      </c>
      <c r="F78" s="4" t="n">
        <v>-113463.08</v>
      </c>
      <c r="G78" s="3" t="s">
        <v>237</v>
      </c>
      <c r="H78" s="3" t="s">
        <v>405</v>
      </c>
      <c r="I78" s="3" t="s">
        <v>239</v>
      </c>
      <c r="J78" s="3" t="s">
        <v>337</v>
      </c>
      <c r="K78" s="3" t="s">
        <v>272</v>
      </c>
      <c r="L78" s="3" t="s">
        <v>268</v>
      </c>
      <c r="M78" s="3"/>
      <c r="N78" s="3"/>
      <c r="O78" s="3" t="s">
        <v>270</v>
      </c>
    </row>
    <row r="79" customFormat="false" ht="15" hidden="false" customHeight="false" outlineLevel="0" collapsed="false">
      <c r="A79" s="5" t="n">
        <v>45972</v>
      </c>
      <c r="B79" s="5" t="n">
        <v>45972</v>
      </c>
      <c r="C79" s="0" t="s">
        <v>395</v>
      </c>
      <c r="D79" s="0" t="s">
        <v>292</v>
      </c>
      <c r="E79" s="0" t="s">
        <v>61</v>
      </c>
      <c r="F79" s="6" t="n">
        <v>-57420.53</v>
      </c>
      <c r="G79" s="0" t="s">
        <v>237</v>
      </c>
      <c r="H79" s="0" t="s">
        <v>406</v>
      </c>
      <c r="I79" s="0" t="s">
        <v>252</v>
      </c>
      <c r="J79" s="0" t="s">
        <v>288</v>
      </c>
      <c r="K79" s="0" t="s">
        <v>272</v>
      </c>
      <c r="O79" s="0" t="s">
        <v>107</v>
      </c>
    </row>
    <row r="80" customFormat="false" ht="15" hidden="false" customHeight="false" outlineLevel="0" collapsed="false">
      <c r="A80" s="2" t="n">
        <v>45973</v>
      </c>
      <c r="B80" s="2" t="n">
        <v>45943</v>
      </c>
      <c r="C80" s="3" t="s">
        <v>341</v>
      </c>
      <c r="D80" s="3" t="s">
        <v>242</v>
      </c>
      <c r="E80" s="3" t="s">
        <v>243</v>
      </c>
      <c r="F80" s="4" t="n">
        <v>36900.08</v>
      </c>
      <c r="G80" s="3" t="s">
        <v>244</v>
      </c>
      <c r="H80" s="3" t="s">
        <v>377</v>
      </c>
      <c r="I80" s="3" t="s">
        <v>264</v>
      </c>
      <c r="J80" s="3" t="s">
        <v>343</v>
      </c>
      <c r="K80" s="3" t="s">
        <v>243</v>
      </c>
      <c r="L80" s="3" t="s">
        <v>268</v>
      </c>
      <c r="M80" s="3" t="s">
        <v>248</v>
      </c>
      <c r="N80" s="3"/>
      <c r="O80" s="3" t="s">
        <v>14</v>
      </c>
    </row>
    <row r="81" customFormat="false" ht="15" hidden="false" customHeight="false" outlineLevel="0" collapsed="false">
      <c r="A81" s="5" t="n">
        <v>45973</v>
      </c>
      <c r="B81" s="5" t="n">
        <v>45973</v>
      </c>
      <c r="C81" s="0" t="s">
        <v>407</v>
      </c>
      <c r="D81" s="0" t="s">
        <v>242</v>
      </c>
      <c r="E81" s="0" t="s">
        <v>83</v>
      </c>
      <c r="F81" s="6" t="n">
        <v>-240538.35</v>
      </c>
      <c r="G81" s="0" t="s">
        <v>237</v>
      </c>
      <c r="I81" s="0" t="s">
        <v>264</v>
      </c>
      <c r="J81" s="0" t="s">
        <v>330</v>
      </c>
      <c r="K81" s="0" t="s">
        <v>23</v>
      </c>
      <c r="N81" s="8" t="s">
        <v>269</v>
      </c>
      <c r="O81" s="0" t="s">
        <v>107</v>
      </c>
    </row>
    <row r="82" customFormat="false" ht="15" hidden="false" customHeight="false" outlineLevel="0" collapsed="false">
      <c r="A82" s="2" t="n">
        <v>45974</v>
      </c>
      <c r="B82" s="2" t="n">
        <v>45944</v>
      </c>
      <c r="C82" s="3" t="s">
        <v>408</v>
      </c>
      <c r="D82" s="3" t="s">
        <v>242</v>
      </c>
      <c r="E82" s="3" t="s">
        <v>262</v>
      </c>
      <c r="F82" s="4" t="n">
        <v>90471.58</v>
      </c>
      <c r="G82" s="3" t="s">
        <v>244</v>
      </c>
      <c r="H82" s="3" t="s">
        <v>409</v>
      </c>
      <c r="I82" s="3" t="s">
        <v>252</v>
      </c>
      <c r="J82" s="3" t="s">
        <v>310</v>
      </c>
      <c r="K82" s="3" t="s">
        <v>262</v>
      </c>
      <c r="L82" s="3" t="s">
        <v>268</v>
      </c>
      <c r="M82" s="3"/>
      <c r="N82" s="3"/>
      <c r="O82" s="3" t="s">
        <v>14</v>
      </c>
    </row>
    <row r="83" customFormat="false" ht="15" hidden="false" customHeight="false" outlineLevel="0" collapsed="false">
      <c r="A83" s="5" t="n">
        <v>45974</v>
      </c>
      <c r="B83" s="5" t="n">
        <v>45944</v>
      </c>
      <c r="C83" s="0" t="s">
        <v>410</v>
      </c>
      <c r="D83" s="0" t="s">
        <v>242</v>
      </c>
      <c r="E83" s="0" t="s">
        <v>243</v>
      </c>
      <c r="F83" s="6" t="n">
        <v>341504.07</v>
      </c>
      <c r="G83" s="0" t="s">
        <v>244</v>
      </c>
      <c r="H83" s="0" t="s">
        <v>411</v>
      </c>
      <c r="I83" s="0" t="s">
        <v>252</v>
      </c>
      <c r="J83" s="0" t="s">
        <v>297</v>
      </c>
      <c r="K83" s="0" t="s">
        <v>243</v>
      </c>
      <c r="L83" s="7" t="s">
        <v>268</v>
      </c>
      <c r="O83" s="0" t="s">
        <v>14</v>
      </c>
    </row>
    <row r="84" customFormat="false" ht="15" hidden="false" customHeight="false" outlineLevel="0" collapsed="false">
      <c r="A84" s="2" t="n">
        <v>45974</v>
      </c>
      <c r="B84" s="2" t="n">
        <v>45944</v>
      </c>
      <c r="C84" s="3" t="s">
        <v>381</v>
      </c>
      <c r="D84" s="3" t="s">
        <v>277</v>
      </c>
      <c r="E84" s="3" t="s">
        <v>23</v>
      </c>
      <c r="F84" s="4" t="n">
        <v>-196080.5</v>
      </c>
      <c r="G84" s="3" t="s">
        <v>237</v>
      </c>
      <c r="H84" s="3" t="s">
        <v>412</v>
      </c>
      <c r="I84" s="3" t="s">
        <v>264</v>
      </c>
      <c r="J84" s="3" t="s">
        <v>330</v>
      </c>
      <c r="K84" s="3" t="s">
        <v>23</v>
      </c>
      <c r="L84" s="3" t="s">
        <v>268</v>
      </c>
      <c r="M84" s="3"/>
      <c r="N84" s="3"/>
      <c r="O84" s="3" t="s">
        <v>14</v>
      </c>
    </row>
    <row r="85" customFormat="false" ht="15" hidden="false" customHeight="false" outlineLevel="0" collapsed="false">
      <c r="A85" s="5" t="n">
        <v>45975</v>
      </c>
      <c r="B85" s="5" t="n">
        <v>45975</v>
      </c>
      <c r="C85" s="0" t="s">
        <v>413</v>
      </c>
      <c r="D85" s="0" t="s">
        <v>236</v>
      </c>
      <c r="E85" s="0" t="s">
        <v>23</v>
      </c>
      <c r="F85" s="6" t="n">
        <v>-145684.88</v>
      </c>
      <c r="G85" s="0" t="s">
        <v>237</v>
      </c>
      <c r="H85" s="0" t="s">
        <v>414</v>
      </c>
      <c r="I85" s="0" t="s">
        <v>264</v>
      </c>
      <c r="J85" s="0" t="s">
        <v>306</v>
      </c>
      <c r="K85" s="0" t="s">
        <v>307</v>
      </c>
      <c r="O85" s="0" t="s">
        <v>107</v>
      </c>
    </row>
    <row r="86" customFormat="false" ht="15" hidden="false" customHeight="false" outlineLevel="0" collapsed="false">
      <c r="A86" s="2" t="n">
        <v>45975</v>
      </c>
      <c r="B86" s="2" t="n">
        <v>45975</v>
      </c>
      <c r="C86" s="3" t="s">
        <v>415</v>
      </c>
      <c r="D86" s="3" t="s">
        <v>242</v>
      </c>
      <c r="E86" s="3" t="s">
        <v>262</v>
      </c>
      <c r="F86" s="4" t="n">
        <v>122504.5</v>
      </c>
      <c r="G86" s="3" t="s">
        <v>244</v>
      </c>
      <c r="H86" s="3" t="s">
        <v>416</v>
      </c>
      <c r="I86" s="3" t="s">
        <v>252</v>
      </c>
      <c r="J86" s="3" t="s">
        <v>302</v>
      </c>
      <c r="K86" s="3" t="s">
        <v>262</v>
      </c>
      <c r="L86" s="3"/>
      <c r="M86" s="3" t="s">
        <v>248</v>
      </c>
      <c r="N86" s="3"/>
      <c r="O86" s="3" t="s">
        <v>107</v>
      </c>
    </row>
    <row r="87" customFormat="false" ht="15" hidden="false" customHeight="false" outlineLevel="0" collapsed="false">
      <c r="A87" s="5" t="n">
        <v>45975</v>
      </c>
      <c r="B87" s="5" t="n">
        <v>45975</v>
      </c>
      <c r="C87" s="0" t="s">
        <v>298</v>
      </c>
      <c r="D87" s="0" t="s">
        <v>250</v>
      </c>
      <c r="E87" s="0" t="s">
        <v>83</v>
      </c>
      <c r="F87" s="6" t="n">
        <v>-122199.94</v>
      </c>
      <c r="G87" s="0" t="s">
        <v>237</v>
      </c>
      <c r="H87" s="0" t="s">
        <v>417</v>
      </c>
      <c r="I87" s="0" t="s">
        <v>264</v>
      </c>
      <c r="J87" s="0" t="s">
        <v>288</v>
      </c>
      <c r="K87" s="0" t="s">
        <v>272</v>
      </c>
      <c r="O87" s="0" t="s">
        <v>107</v>
      </c>
    </row>
    <row r="88" customFormat="false" ht="15" hidden="false" customHeight="false" outlineLevel="0" collapsed="false">
      <c r="A88" s="2" t="n">
        <v>45976</v>
      </c>
      <c r="B88" s="2" t="n">
        <v>45946</v>
      </c>
      <c r="C88" s="3" t="s">
        <v>418</v>
      </c>
      <c r="D88" s="3" t="s">
        <v>277</v>
      </c>
      <c r="E88" s="3" t="s">
        <v>272</v>
      </c>
      <c r="F88" s="4" t="n">
        <v>-201011.31</v>
      </c>
      <c r="G88" s="3" t="s">
        <v>237</v>
      </c>
      <c r="H88" s="3" t="s">
        <v>419</v>
      </c>
      <c r="I88" s="3" t="s">
        <v>264</v>
      </c>
      <c r="J88" s="3" t="s">
        <v>279</v>
      </c>
      <c r="K88" s="3" t="s">
        <v>52</v>
      </c>
      <c r="L88" s="3" t="s">
        <v>268</v>
      </c>
      <c r="M88" s="3"/>
      <c r="N88" s="3"/>
      <c r="O88" s="3" t="s">
        <v>14</v>
      </c>
    </row>
    <row r="89" customFormat="false" ht="15" hidden="false" customHeight="false" outlineLevel="0" collapsed="false">
      <c r="A89" s="5" t="n">
        <v>45976</v>
      </c>
      <c r="B89" s="5" t="n">
        <v>45976</v>
      </c>
      <c r="C89" s="0" t="s">
        <v>420</v>
      </c>
      <c r="D89" s="0" t="s">
        <v>323</v>
      </c>
      <c r="E89" s="0" t="s">
        <v>307</v>
      </c>
      <c r="F89" s="6" t="n">
        <v>-205112.36</v>
      </c>
      <c r="G89" s="0" t="s">
        <v>237</v>
      </c>
      <c r="I89" s="0" t="s">
        <v>246</v>
      </c>
      <c r="J89" s="0" t="s">
        <v>306</v>
      </c>
      <c r="K89" s="0" t="s">
        <v>307</v>
      </c>
      <c r="N89" s="8" t="s">
        <v>269</v>
      </c>
      <c r="O89" s="0" t="s">
        <v>107</v>
      </c>
    </row>
    <row r="90" customFormat="false" ht="15" hidden="false" customHeight="false" outlineLevel="0" collapsed="false">
      <c r="A90" s="2" t="n">
        <v>45977</v>
      </c>
      <c r="B90" s="2" t="n">
        <v>45977</v>
      </c>
      <c r="C90" s="3" t="s">
        <v>421</v>
      </c>
      <c r="D90" s="3" t="s">
        <v>292</v>
      </c>
      <c r="E90" s="3" t="s">
        <v>83</v>
      </c>
      <c r="F90" s="4" t="n">
        <v>-147423.39</v>
      </c>
      <c r="G90" s="3" t="s">
        <v>237</v>
      </c>
      <c r="H90" s="3" t="s">
        <v>422</v>
      </c>
      <c r="I90" s="3" t="s">
        <v>252</v>
      </c>
      <c r="J90" s="3" t="s">
        <v>275</v>
      </c>
      <c r="K90" s="3" t="s">
        <v>23</v>
      </c>
      <c r="L90" s="3"/>
      <c r="M90" s="3"/>
      <c r="N90" s="3"/>
      <c r="O90" s="3" t="s">
        <v>107</v>
      </c>
    </row>
    <row r="91" customFormat="false" ht="15" hidden="false" customHeight="false" outlineLevel="0" collapsed="false">
      <c r="A91" s="5" t="n">
        <v>45977</v>
      </c>
      <c r="B91" s="5" t="n">
        <v>45977</v>
      </c>
      <c r="C91" s="0" t="s">
        <v>423</v>
      </c>
      <c r="D91" s="0" t="s">
        <v>236</v>
      </c>
      <c r="E91" s="0" t="s">
        <v>25</v>
      </c>
      <c r="F91" s="6" t="n">
        <v>-84922.6</v>
      </c>
      <c r="G91" s="0" t="s">
        <v>237</v>
      </c>
      <c r="H91" s="0" t="s">
        <v>424</v>
      </c>
      <c r="I91" s="0" t="s">
        <v>264</v>
      </c>
      <c r="J91" s="0" t="s">
        <v>352</v>
      </c>
      <c r="K91" s="0" t="s">
        <v>52</v>
      </c>
      <c r="O91" s="0" t="s">
        <v>107</v>
      </c>
    </row>
    <row r="92" customFormat="false" ht="15" hidden="false" customHeight="false" outlineLevel="0" collapsed="false">
      <c r="A92" s="2" t="n">
        <v>45977</v>
      </c>
      <c r="B92" s="2" t="n">
        <v>45947</v>
      </c>
      <c r="C92" s="3" t="s">
        <v>365</v>
      </c>
      <c r="D92" s="3" t="s">
        <v>323</v>
      </c>
      <c r="E92" s="3" t="s">
        <v>255</v>
      </c>
      <c r="F92" s="4" t="n">
        <v>86673.98</v>
      </c>
      <c r="G92" s="3" t="s">
        <v>244</v>
      </c>
      <c r="H92" s="3" t="s">
        <v>425</v>
      </c>
      <c r="I92" s="3" t="s">
        <v>264</v>
      </c>
      <c r="J92" s="3" t="s">
        <v>302</v>
      </c>
      <c r="K92" s="3" t="s">
        <v>255</v>
      </c>
      <c r="L92" s="3" t="s">
        <v>268</v>
      </c>
      <c r="M92" s="3" t="s">
        <v>248</v>
      </c>
      <c r="N92" s="3"/>
      <c r="O92" s="3" t="s">
        <v>14</v>
      </c>
    </row>
    <row r="93" customFormat="false" ht="15" hidden="false" customHeight="false" outlineLevel="0" collapsed="false">
      <c r="A93" s="5" t="n">
        <v>45977</v>
      </c>
      <c r="B93" s="5" t="n">
        <v>45917</v>
      </c>
      <c r="C93" s="0" t="s">
        <v>426</v>
      </c>
      <c r="D93" s="0" t="s">
        <v>304</v>
      </c>
      <c r="E93" s="0" t="s">
        <v>25</v>
      </c>
      <c r="F93" s="6" t="n">
        <v>-142785.27</v>
      </c>
      <c r="G93" s="0" t="s">
        <v>237</v>
      </c>
      <c r="I93" s="0" t="s">
        <v>264</v>
      </c>
      <c r="J93" s="0" t="s">
        <v>330</v>
      </c>
      <c r="K93" s="0" t="s">
        <v>23</v>
      </c>
      <c r="L93" s="7" t="s">
        <v>268</v>
      </c>
      <c r="N93" s="8" t="s">
        <v>269</v>
      </c>
      <c r="O93" s="0" t="s">
        <v>270</v>
      </c>
    </row>
    <row r="94" customFormat="false" ht="15" hidden="false" customHeight="false" outlineLevel="0" collapsed="false">
      <c r="A94" s="2" t="n">
        <v>45977</v>
      </c>
      <c r="B94" s="2" t="n">
        <v>45977</v>
      </c>
      <c r="C94" s="3" t="s">
        <v>427</v>
      </c>
      <c r="D94" s="3" t="s">
        <v>236</v>
      </c>
      <c r="E94" s="3" t="s">
        <v>49</v>
      </c>
      <c r="F94" s="4" t="n">
        <v>-137138.49</v>
      </c>
      <c r="G94" s="3" t="s">
        <v>237</v>
      </c>
      <c r="H94" s="3" t="s">
        <v>428</v>
      </c>
      <c r="I94" s="3" t="s">
        <v>264</v>
      </c>
      <c r="J94" s="3" t="s">
        <v>275</v>
      </c>
      <c r="K94" s="3" t="s">
        <v>23</v>
      </c>
      <c r="L94" s="3"/>
      <c r="M94" s="3"/>
      <c r="N94" s="3"/>
      <c r="O94" s="3" t="s">
        <v>107</v>
      </c>
    </row>
    <row r="95" customFormat="false" ht="15" hidden="false" customHeight="false" outlineLevel="0" collapsed="false">
      <c r="A95" s="5" t="n">
        <v>45977</v>
      </c>
      <c r="B95" s="5" t="n">
        <v>45947</v>
      </c>
      <c r="C95" s="0" t="s">
        <v>344</v>
      </c>
      <c r="D95" s="0" t="s">
        <v>236</v>
      </c>
      <c r="E95" s="0" t="s">
        <v>23</v>
      </c>
      <c r="F95" s="6" t="n">
        <v>-245338.95</v>
      </c>
      <c r="G95" s="0" t="s">
        <v>237</v>
      </c>
      <c r="H95" s="0" t="s">
        <v>429</v>
      </c>
      <c r="I95" s="0" t="s">
        <v>246</v>
      </c>
      <c r="J95" s="0" t="s">
        <v>334</v>
      </c>
      <c r="K95" s="0" t="s">
        <v>83</v>
      </c>
      <c r="L95" s="7" t="s">
        <v>268</v>
      </c>
      <c r="O95" s="0" t="s">
        <v>14</v>
      </c>
    </row>
    <row r="96" customFormat="false" ht="15" hidden="false" customHeight="false" outlineLevel="0" collapsed="false">
      <c r="A96" s="2" t="n">
        <v>45977</v>
      </c>
      <c r="B96" s="2" t="n">
        <v>45947</v>
      </c>
      <c r="C96" s="3" t="s">
        <v>430</v>
      </c>
      <c r="D96" s="3" t="s">
        <v>277</v>
      </c>
      <c r="E96" s="3" t="s">
        <v>43</v>
      </c>
      <c r="F96" s="4" t="n">
        <v>-228643.11</v>
      </c>
      <c r="G96" s="3" t="s">
        <v>237</v>
      </c>
      <c r="H96" s="3"/>
      <c r="I96" s="3" t="s">
        <v>264</v>
      </c>
      <c r="J96" s="3" t="s">
        <v>380</v>
      </c>
      <c r="K96" s="3" t="s">
        <v>43</v>
      </c>
      <c r="L96" s="3" t="s">
        <v>268</v>
      </c>
      <c r="M96" s="3"/>
      <c r="N96" s="3" t="s">
        <v>269</v>
      </c>
      <c r="O96" s="3" t="s">
        <v>14</v>
      </c>
    </row>
    <row r="97" customFormat="false" ht="15" hidden="false" customHeight="false" outlineLevel="0" collapsed="false">
      <c r="A97" s="5" t="n">
        <v>45978</v>
      </c>
      <c r="B97" s="5" t="n">
        <v>45978</v>
      </c>
      <c r="C97" s="0" t="s">
        <v>431</v>
      </c>
      <c r="D97" s="0" t="s">
        <v>242</v>
      </c>
      <c r="E97" s="0" t="s">
        <v>52</v>
      </c>
      <c r="F97" s="6" t="n">
        <v>-132600.24</v>
      </c>
      <c r="G97" s="0" t="s">
        <v>237</v>
      </c>
      <c r="H97" s="0" t="s">
        <v>432</v>
      </c>
      <c r="I97" s="0" t="s">
        <v>264</v>
      </c>
      <c r="J97" s="0" t="s">
        <v>275</v>
      </c>
      <c r="K97" s="0" t="s">
        <v>23</v>
      </c>
      <c r="O97" s="0" t="s">
        <v>107</v>
      </c>
    </row>
    <row r="98" customFormat="false" ht="15" hidden="false" customHeight="false" outlineLevel="0" collapsed="false">
      <c r="A98" s="2" t="n">
        <v>45978</v>
      </c>
      <c r="B98" s="2" t="n">
        <v>45978</v>
      </c>
      <c r="C98" s="3" t="s">
        <v>433</v>
      </c>
      <c r="D98" s="3" t="s">
        <v>304</v>
      </c>
      <c r="E98" s="3" t="s">
        <v>255</v>
      </c>
      <c r="F98" s="4" t="n">
        <v>28602</v>
      </c>
      <c r="G98" s="3" t="s">
        <v>244</v>
      </c>
      <c r="H98" s="3" t="s">
        <v>309</v>
      </c>
      <c r="I98" s="3" t="s">
        <v>264</v>
      </c>
      <c r="J98" s="3" t="s">
        <v>310</v>
      </c>
      <c r="K98" s="3" t="s">
        <v>255</v>
      </c>
      <c r="L98" s="3"/>
      <c r="M98" s="3"/>
      <c r="N98" s="3"/>
      <c r="O98" s="3" t="s">
        <v>107</v>
      </c>
    </row>
    <row r="99" customFormat="false" ht="15" hidden="false" customHeight="false" outlineLevel="0" collapsed="false">
      <c r="A99" s="5" t="n">
        <v>45979</v>
      </c>
      <c r="B99" s="5" t="n">
        <v>45949</v>
      </c>
      <c r="C99" s="0" t="s">
        <v>434</v>
      </c>
      <c r="D99" s="0" t="s">
        <v>236</v>
      </c>
      <c r="E99" s="0" t="s">
        <v>83</v>
      </c>
      <c r="F99" s="6" t="n">
        <v>-151363.53</v>
      </c>
      <c r="G99" s="0" t="s">
        <v>237</v>
      </c>
      <c r="H99" s="0" t="s">
        <v>435</v>
      </c>
      <c r="I99" s="0" t="s">
        <v>252</v>
      </c>
      <c r="J99" s="0" t="s">
        <v>322</v>
      </c>
      <c r="K99" s="0" t="s">
        <v>52</v>
      </c>
      <c r="L99" s="7" t="s">
        <v>268</v>
      </c>
      <c r="O99" s="0" t="s">
        <v>14</v>
      </c>
    </row>
    <row r="100" customFormat="false" ht="15" hidden="false" customHeight="false" outlineLevel="0" collapsed="false">
      <c r="A100" s="2" t="n">
        <v>45979</v>
      </c>
      <c r="B100" s="2" t="n">
        <v>45979</v>
      </c>
      <c r="C100" s="3" t="s">
        <v>436</v>
      </c>
      <c r="D100" s="3" t="s">
        <v>242</v>
      </c>
      <c r="E100" s="3" t="s">
        <v>19</v>
      </c>
      <c r="F100" s="4" t="n">
        <v>-163556.76</v>
      </c>
      <c r="G100" s="3" t="s">
        <v>237</v>
      </c>
      <c r="H100" s="3" t="s">
        <v>437</v>
      </c>
      <c r="I100" s="3" t="s">
        <v>246</v>
      </c>
      <c r="J100" s="3" t="s">
        <v>306</v>
      </c>
      <c r="K100" s="3" t="s">
        <v>307</v>
      </c>
      <c r="L100" s="3"/>
      <c r="M100" s="3"/>
      <c r="N100" s="3"/>
      <c r="O100" s="3" t="s">
        <v>107</v>
      </c>
    </row>
    <row r="101" customFormat="false" ht="15" hidden="false" customHeight="false" outlineLevel="0" collapsed="false">
      <c r="A101" s="5" t="n">
        <v>45979</v>
      </c>
      <c r="B101" s="5" t="n">
        <v>45979</v>
      </c>
      <c r="C101" s="0" t="s">
        <v>438</v>
      </c>
      <c r="D101" s="0" t="s">
        <v>250</v>
      </c>
      <c r="E101" s="0" t="s">
        <v>61</v>
      </c>
      <c r="F101" s="6" t="n">
        <v>-100500.87</v>
      </c>
      <c r="G101" s="0" t="s">
        <v>237</v>
      </c>
      <c r="H101" s="0" t="s">
        <v>439</v>
      </c>
      <c r="I101" s="0" t="s">
        <v>252</v>
      </c>
      <c r="J101" s="0" t="s">
        <v>240</v>
      </c>
      <c r="K101" s="0" t="s">
        <v>19</v>
      </c>
      <c r="O101" s="0" t="s">
        <v>107</v>
      </c>
    </row>
    <row r="102" customFormat="false" ht="15" hidden="false" customHeight="false" outlineLevel="0" collapsed="false">
      <c r="A102" s="2" t="n">
        <v>45979</v>
      </c>
      <c r="B102" s="2" t="n">
        <v>45919</v>
      </c>
      <c r="C102" s="3" t="s">
        <v>440</v>
      </c>
      <c r="D102" s="3" t="s">
        <v>242</v>
      </c>
      <c r="E102" s="3" t="s">
        <v>23</v>
      </c>
      <c r="F102" s="4" t="n">
        <v>-132688.72</v>
      </c>
      <c r="G102" s="3" t="s">
        <v>237</v>
      </c>
      <c r="H102" s="3" t="s">
        <v>441</v>
      </c>
      <c r="I102" s="3" t="s">
        <v>246</v>
      </c>
      <c r="J102" s="3" t="s">
        <v>282</v>
      </c>
      <c r="K102" s="3" t="s">
        <v>52</v>
      </c>
      <c r="L102" s="3" t="s">
        <v>268</v>
      </c>
      <c r="M102" s="3"/>
      <c r="N102" s="3"/>
      <c r="O102" s="3" t="s">
        <v>270</v>
      </c>
    </row>
    <row r="103" customFormat="false" ht="15" hidden="false" customHeight="false" outlineLevel="0" collapsed="false">
      <c r="A103" s="5" t="n">
        <v>45980</v>
      </c>
      <c r="B103" s="5" t="n">
        <v>45980</v>
      </c>
      <c r="C103" s="0" t="s">
        <v>371</v>
      </c>
      <c r="D103" s="0" t="s">
        <v>242</v>
      </c>
      <c r="E103" s="0" t="s">
        <v>262</v>
      </c>
      <c r="F103" s="6" t="n">
        <v>255071.13</v>
      </c>
      <c r="G103" s="0" t="s">
        <v>244</v>
      </c>
      <c r="H103" s="0" t="s">
        <v>442</v>
      </c>
      <c r="I103" s="0" t="s">
        <v>246</v>
      </c>
      <c r="J103" s="0" t="s">
        <v>373</v>
      </c>
      <c r="K103" s="0" t="s">
        <v>262</v>
      </c>
      <c r="O103" s="0" t="s">
        <v>107</v>
      </c>
    </row>
    <row r="104" customFormat="false" ht="15" hidden="false" customHeight="false" outlineLevel="0" collapsed="false">
      <c r="A104" s="2" t="n">
        <v>45980</v>
      </c>
      <c r="B104" s="2" t="n">
        <v>45980</v>
      </c>
      <c r="C104" s="3" t="s">
        <v>443</v>
      </c>
      <c r="D104" s="3" t="s">
        <v>242</v>
      </c>
      <c r="E104" s="3" t="s">
        <v>52</v>
      </c>
      <c r="F104" s="4" t="n">
        <v>-69603.43</v>
      </c>
      <c r="G104" s="3" t="s">
        <v>237</v>
      </c>
      <c r="H104" s="3"/>
      <c r="I104" s="3" t="s">
        <v>252</v>
      </c>
      <c r="J104" s="3" t="s">
        <v>253</v>
      </c>
      <c r="K104" s="3" t="s">
        <v>52</v>
      </c>
      <c r="L104" s="3"/>
      <c r="M104" s="3"/>
      <c r="N104" s="3" t="s">
        <v>269</v>
      </c>
      <c r="O104" s="3" t="s">
        <v>107</v>
      </c>
    </row>
    <row r="105" customFormat="false" ht="15" hidden="false" customHeight="false" outlineLevel="0" collapsed="false">
      <c r="A105" s="5" t="n">
        <v>45980</v>
      </c>
      <c r="B105" s="5" t="n">
        <v>45980</v>
      </c>
      <c r="C105" s="0" t="s">
        <v>444</v>
      </c>
      <c r="D105" s="0" t="s">
        <v>242</v>
      </c>
      <c r="E105" s="0" t="s">
        <v>255</v>
      </c>
      <c r="F105" s="6" t="n">
        <v>15109.69</v>
      </c>
      <c r="G105" s="0" t="s">
        <v>244</v>
      </c>
      <c r="H105" s="0" t="s">
        <v>445</v>
      </c>
      <c r="I105" s="0" t="s">
        <v>264</v>
      </c>
      <c r="J105" s="0" t="s">
        <v>297</v>
      </c>
      <c r="K105" s="0" t="s">
        <v>255</v>
      </c>
      <c r="O105" s="0" t="s">
        <v>107</v>
      </c>
    </row>
    <row r="106" customFormat="false" ht="15" hidden="false" customHeight="false" outlineLevel="0" collapsed="false">
      <c r="A106" s="2" t="n">
        <v>45981</v>
      </c>
      <c r="B106" s="2" t="n">
        <v>45921</v>
      </c>
      <c r="C106" s="3" t="s">
        <v>357</v>
      </c>
      <c r="D106" s="3" t="s">
        <v>304</v>
      </c>
      <c r="E106" s="3" t="s">
        <v>307</v>
      </c>
      <c r="F106" s="4" t="n">
        <v>-2812.16</v>
      </c>
      <c r="G106" s="3" t="s">
        <v>237</v>
      </c>
      <c r="H106" s="3" t="s">
        <v>446</v>
      </c>
      <c r="I106" s="3" t="s">
        <v>246</v>
      </c>
      <c r="J106" s="3" t="s">
        <v>279</v>
      </c>
      <c r="K106" s="3" t="s">
        <v>52</v>
      </c>
      <c r="L106" s="3" t="s">
        <v>268</v>
      </c>
      <c r="M106" s="3"/>
      <c r="N106" s="3"/>
      <c r="O106" s="3" t="s">
        <v>270</v>
      </c>
    </row>
    <row r="107" customFormat="false" ht="15" hidden="false" customHeight="false" outlineLevel="0" collapsed="false">
      <c r="A107" s="5" t="n">
        <v>45981</v>
      </c>
      <c r="B107" s="5" t="n">
        <v>45981</v>
      </c>
      <c r="C107" s="0" t="s">
        <v>286</v>
      </c>
      <c r="D107" s="0" t="s">
        <v>292</v>
      </c>
      <c r="E107" s="0" t="s">
        <v>49</v>
      </c>
      <c r="F107" s="6" t="n">
        <v>-95810.67</v>
      </c>
      <c r="G107" s="0" t="s">
        <v>237</v>
      </c>
      <c r="H107" s="0" t="s">
        <v>447</v>
      </c>
      <c r="I107" s="0" t="s">
        <v>239</v>
      </c>
      <c r="J107" s="0" t="s">
        <v>288</v>
      </c>
      <c r="K107" s="0" t="s">
        <v>272</v>
      </c>
      <c r="O107" s="0" t="s">
        <v>107</v>
      </c>
    </row>
    <row r="108" customFormat="false" ht="15" hidden="false" customHeight="false" outlineLevel="0" collapsed="false">
      <c r="A108" s="2" t="n">
        <v>45982</v>
      </c>
      <c r="B108" s="2" t="n">
        <v>45982</v>
      </c>
      <c r="C108" s="3" t="s">
        <v>415</v>
      </c>
      <c r="D108" s="3" t="s">
        <v>242</v>
      </c>
      <c r="E108" s="3" t="s">
        <v>262</v>
      </c>
      <c r="F108" s="4" t="n">
        <v>53346.77</v>
      </c>
      <c r="G108" s="3" t="s">
        <v>244</v>
      </c>
      <c r="H108" s="3" t="s">
        <v>448</v>
      </c>
      <c r="I108" s="3" t="s">
        <v>246</v>
      </c>
      <c r="J108" s="3" t="s">
        <v>302</v>
      </c>
      <c r="K108" s="3" t="s">
        <v>262</v>
      </c>
      <c r="L108" s="3"/>
      <c r="M108" s="3" t="s">
        <v>248</v>
      </c>
      <c r="N108" s="3"/>
      <c r="O108" s="3" t="s">
        <v>107</v>
      </c>
    </row>
    <row r="109" customFormat="false" ht="15" hidden="false" customHeight="false" outlineLevel="0" collapsed="false">
      <c r="A109" s="5" t="n">
        <v>45982</v>
      </c>
      <c r="B109" s="5" t="n">
        <v>45982</v>
      </c>
      <c r="C109" s="0" t="s">
        <v>430</v>
      </c>
      <c r="D109" s="0" t="s">
        <v>242</v>
      </c>
      <c r="E109" s="0" t="s">
        <v>43</v>
      </c>
      <c r="F109" s="6" t="n">
        <v>-69728.2</v>
      </c>
      <c r="G109" s="0" t="s">
        <v>237</v>
      </c>
      <c r="H109" s="0" t="s">
        <v>449</v>
      </c>
      <c r="I109" s="0" t="s">
        <v>246</v>
      </c>
      <c r="J109" s="0" t="s">
        <v>380</v>
      </c>
      <c r="K109" s="0" t="s">
        <v>43</v>
      </c>
      <c r="O109" s="0" t="s">
        <v>107</v>
      </c>
    </row>
    <row r="110" customFormat="false" ht="15" hidden="false" customHeight="false" outlineLevel="0" collapsed="false">
      <c r="A110" s="2" t="n">
        <v>45983</v>
      </c>
      <c r="B110" s="2" t="n">
        <v>45953</v>
      </c>
      <c r="C110" s="3" t="s">
        <v>333</v>
      </c>
      <c r="D110" s="3" t="s">
        <v>277</v>
      </c>
      <c r="E110" s="3" t="s">
        <v>61</v>
      </c>
      <c r="F110" s="4" t="n">
        <v>-50766.91</v>
      </c>
      <c r="G110" s="3" t="s">
        <v>237</v>
      </c>
      <c r="H110" s="3" t="s">
        <v>450</v>
      </c>
      <c r="I110" s="3" t="s">
        <v>264</v>
      </c>
      <c r="J110" s="3" t="s">
        <v>334</v>
      </c>
      <c r="K110" s="3" t="s">
        <v>83</v>
      </c>
      <c r="L110" s="3" t="s">
        <v>268</v>
      </c>
      <c r="M110" s="3"/>
      <c r="N110" s="3"/>
      <c r="O110" s="3" t="s">
        <v>14</v>
      </c>
    </row>
    <row r="111" customFormat="false" ht="15" hidden="false" customHeight="false" outlineLevel="0" collapsed="false">
      <c r="A111" s="5" t="n">
        <v>45983</v>
      </c>
      <c r="B111" s="5" t="n">
        <v>45983</v>
      </c>
      <c r="C111" s="0" t="s">
        <v>390</v>
      </c>
      <c r="D111" s="0" t="s">
        <v>304</v>
      </c>
      <c r="E111" s="0" t="s">
        <v>52</v>
      </c>
      <c r="F111" s="6" t="n">
        <v>-65563.14</v>
      </c>
      <c r="G111" s="0" t="s">
        <v>237</v>
      </c>
      <c r="H111" s="0" t="s">
        <v>451</v>
      </c>
      <c r="I111" s="0" t="s">
        <v>252</v>
      </c>
      <c r="J111" s="0" t="s">
        <v>267</v>
      </c>
      <c r="K111" s="0" t="s">
        <v>52</v>
      </c>
      <c r="O111" s="0" t="s">
        <v>107</v>
      </c>
    </row>
    <row r="112" customFormat="false" ht="15" hidden="false" customHeight="false" outlineLevel="0" collapsed="false">
      <c r="A112" s="2" t="n">
        <v>45984</v>
      </c>
      <c r="B112" s="2" t="n">
        <v>45954</v>
      </c>
      <c r="C112" s="3" t="s">
        <v>418</v>
      </c>
      <c r="D112" s="3" t="s">
        <v>304</v>
      </c>
      <c r="E112" s="3" t="s">
        <v>272</v>
      </c>
      <c r="F112" s="4" t="n">
        <v>-149428.95</v>
      </c>
      <c r="G112" s="3" t="s">
        <v>237</v>
      </c>
      <c r="H112" s="3" t="s">
        <v>452</v>
      </c>
      <c r="I112" s="3" t="s">
        <v>252</v>
      </c>
      <c r="J112" s="3" t="s">
        <v>279</v>
      </c>
      <c r="K112" s="3" t="s">
        <v>52</v>
      </c>
      <c r="L112" s="3" t="s">
        <v>268</v>
      </c>
      <c r="M112" s="3"/>
      <c r="N112" s="3"/>
      <c r="O112" s="3" t="s">
        <v>14</v>
      </c>
    </row>
    <row r="113" customFormat="false" ht="15" hidden="false" customHeight="false" outlineLevel="0" collapsed="false">
      <c r="A113" s="5" t="n">
        <v>45984</v>
      </c>
      <c r="B113" s="5" t="n">
        <v>45984</v>
      </c>
      <c r="C113" s="0" t="s">
        <v>453</v>
      </c>
      <c r="D113" s="0" t="s">
        <v>250</v>
      </c>
      <c r="E113" s="0" t="s">
        <v>25</v>
      </c>
      <c r="F113" s="6" t="n">
        <v>-193855.59</v>
      </c>
      <c r="G113" s="0" t="s">
        <v>237</v>
      </c>
      <c r="H113" s="0" t="s">
        <v>454</v>
      </c>
      <c r="I113" s="0" t="s">
        <v>252</v>
      </c>
      <c r="J113" s="0" t="s">
        <v>267</v>
      </c>
      <c r="K113" s="0" t="s">
        <v>52</v>
      </c>
      <c r="O113" s="0" t="s">
        <v>107</v>
      </c>
    </row>
    <row r="114" customFormat="false" ht="15" hidden="false" customHeight="false" outlineLevel="0" collapsed="false">
      <c r="A114" s="2" t="n">
        <v>45985</v>
      </c>
      <c r="B114" s="2" t="n">
        <v>45985</v>
      </c>
      <c r="C114" s="3" t="s">
        <v>335</v>
      </c>
      <c r="D114" s="3" t="s">
        <v>250</v>
      </c>
      <c r="E114" s="3" t="s">
        <v>49</v>
      </c>
      <c r="F114" s="4" t="n">
        <v>-73794.72</v>
      </c>
      <c r="G114" s="3" t="s">
        <v>237</v>
      </c>
      <c r="H114" s="3"/>
      <c r="I114" s="3" t="s">
        <v>264</v>
      </c>
      <c r="J114" s="3" t="s">
        <v>337</v>
      </c>
      <c r="K114" s="3" t="s">
        <v>272</v>
      </c>
      <c r="L114" s="3"/>
      <c r="M114" s="3"/>
      <c r="N114" s="3" t="s">
        <v>269</v>
      </c>
      <c r="O114" s="3" t="s">
        <v>107</v>
      </c>
    </row>
    <row r="115" customFormat="false" ht="15" hidden="false" customHeight="false" outlineLevel="0" collapsed="false">
      <c r="A115" s="5" t="n">
        <v>45985</v>
      </c>
      <c r="B115" s="5" t="n">
        <v>45955</v>
      </c>
      <c r="C115" s="0" t="s">
        <v>455</v>
      </c>
      <c r="D115" s="0" t="s">
        <v>304</v>
      </c>
      <c r="E115" s="0" t="s">
        <v>272</v>
      </c>
      <c r="F115" s="6" t="n">
        <v>-46602.91</v>
      </c>
      <c r="G115" s="0" t="s">
        <v>237</v>
      </c>
      <c r="I115" s="0" t="s">
        <v>264</v>
      </c>
      <c r="J115" s="0" t="s">
        <v>352</v>
      </c>
      <c r="K115" s="0" t="s">
        <v>52</v>
      </c>
      <c r="L115" s="7" t="s">
        <v>268</v>
      </c>
      <c r="N115" s="8" t="s">
        <v>269</v>
      </c>
      <c r="O115" s="0" t="s">
        <v>14</v>
      </c>
    </row>
    <row r="116" customFormat="false" ht="15" hidden="false" customHeight="false" outlineLevel="0" collapsed="false">
      <c r="A116" s="2" t="n">
        <v>45985</v>
      </c>
      <c r="B116" s="2" t="n">
        <v>45925</v>
      </c>
      <c r="C116" s="3" t="s">
        <v>376</v>
      </c>
      <c r="D116" s="3" t="s">
        <v>242</v>
      </c>
      <c r="E116" s="3" t="s">
        <v>243</v>
      </c>
      <c r="F116" s="4" t="n">
        <v>290778.55</v>
      </c>
      <c r="G116" s="3" t="s">
        <v>244</v>
      </c>
      <c r="H116" s="3" t="s">
        <v>456</v>
      </c>
      <c r="I116" s="3" t="s">
        <v>264</v>
      </c>
      <c r="J116" s="3" t="s">
        <v>327</v>
      </c>
      <c r="K116" s="3" t="s">
        <v>243</v>
      </c>
      <c r="L116" s="3" t="s">
        <v>268</v>
      </c>
      <c r="M116" s="3"/>
      <c r="N116" s="3"/>
      <c r="O116" s="3" t="s">
        <v>270</v>
      </c>
    </row>
    <row r="117" customFormat="false" ht="15" hidden="false" customHeight="false" outlineLevel="0" collapsed="false">
      <c r="A117" s="5" t="n">
        <v>45985</v>
      </c>
      <c r="B117" s="5" t="n">
        <v>45985</v>
      </c>
      <c r="C117" s="0" t="s">
        <v>374</v>
      </c>
      <c r="D117" s="0" t="s">
        <v>323</v>
      </c>
      <c r="E117" s="0" t="s">
        <v>272</v>
      </c>
      <c r="F117" s="6" t="n">
        <v>-40164.88</v>
      </c>
      <c r="G117" s="0" t="s">
        <v>237</v>
      </c>
      <c r="H117" s="0" t="s">
        <v>457</v>
      </c>
      <c r="I117" s="0" t="s">
        <v>264</v>
      </c>
      <c r="J117" s="0" t="s">
        <v>322</v>
      </c>
      <c r="K117" s="0" t="s">
        <v>52</v>
      </c>
      <c r="O117" s="0" t="s">
        <v>107</v>
      </c>
    </row>
    <row r="118" customFormat="false" ht="15" hidden="false" customHeight="false" outlineLevel="0" collapsed="false">
      <c r="A118" s="2" t="n">
        <v>45986</v>
      </c>
      <c r="B118" s="2" t="n">
        <v>45986</v>
      </c>
      <c r="C118" s="3" t="s">
        <v>266</v>
      </c>
      <c r="D118" s="3" t="s">
        <v>323</v>
      </c>
      <c r="E118" s="3" t="s">
        <v>61</v>
      </c>
      <c r="F118" s="4" t="n">
        <v>-232652.75</v>
      </c>
      <c r="G118" s="3" t="s">
        <v>237</v>
      </c>
      <c r="H118" s="3" t="s">
        <v>458</v>
      </c>
      <c r="I118" s="3" t="s">
        <v>252</v>
      </c>
      <c r="J118" s="3" t="s">
        <v>267</v>
      </c>
      <c r="K118" s="3" t="s">
        <v>52</v>
      </c>
      <c r="L118" s="3"/>
      <c r="M118" s="3"/>
      <c r="N118" s="3"/>
      <c r="O118" s="3" t="s">
        <v>107</v>
      </c>
    </row>
    <row r="119" customFormat="false" ht="15" hidden="false" customHeight="false" outlineLevel="0" collapsed="false">
      <c r="A119" s="5" t="n">
        <v>45986</v>
      </c>
      <c r="B119" s="5" t="n">
        <v>45986</v>
      </c>
      <c r="C119" s="0" t="s">
        <v>349</v>
      </c>
      <c r="D119" s="0" t="s">
        <v>242</v>
      </c>
      <c r="E119" s="0" t="s">
        <v>350</v>
      </c>
      <c r="F119" s="6" t="n">
        <v>-124302.71</v>
      </c>
      <c r="G119" s="0" t="s">
        <v>237</v>
      </c>
      <c r="H119" s="0" t="s">
        <v>459</v>
      </c>
      <c r="I119" s="0" t="s">
        <v>264</v>
      </c>
      <c r="J119" s="0" t="s">
        <v>352</v>
      </c>
      <c r="K119" s="0" t="s">
        <v>52</v>
      </c>
      <c r="O119" s="0" t="s">
        <v>107</v>
      </c>
    </row>
    <row r="120" customFormat="false" ht="15" hidden="false" customHeight="false" outlineLevel="0" collapsed="false">
      <c r="A120" s="2" t="n">
        <v>45986</v>
      </c>
      <c r="B120" s="2" t="n">
        <v>45926</v>
      </c>
      <c r="C120" s="3" t="s">
        <v>460</v>
      </c>
      <c r="D120" s="3" t="s">
        <v>323</v>
      </c>
      <c r="E120" s="3" t="s">
        <v>272</v>
      </c>
      <c r="F120" s="4" t="n">
        <v>-43963.57</v>
      </c>
      <c r="G120" s="3" t="s">
        <v>237</v>
      </c>
      <c r="H120" s="3" t="s">
        <v>461</v>
      </c>
      <c r="I120" s="3" t="s">
        <v>264</v>
      </c>
      <c r="J120" s="3" t="s">
        <v>334</v>
      </c>
      <c r="K120" s="3" t="s">
        <v>83</v>
      </c>
      <c r="L120" s="3" t="s">
        <v>268</v>
      </c>
      <c r="M120" s="3"/>
      <c r="N120" s="3"/>
      <c r="O120" s="3" t="s">
        <v>270</v>
      </c>
    </row>
    <row r="121" customFormat="false" ht="15" hidden="false" customHeight="false" outlineLevel="0" collapsed="false">
      <c r="A121" s="5" t="n">
        <v>45987</v>
      </c>
      <c r="B121" s="5" t="n">
        <v>45987</v>
      </c>
      <c r="C121" s="0" t="s">
        <v>300</v>
      </c>
      <c r="D121" s="0" t="s">
        <v>242</v>
      </c>
      <c r="E121" s="0" t="s">
        <v>243</v>
      </c>
      <c r="F121" s="6" t="n">
        <v>129941.95</v>
      </c>
      <c r="G121" s="0" t="s">
        <v>244</v>
      </c>
      <c r="H121" s="0" t="s">
        <v>359</v>
      </c>
      <c r="I121" s="0" t="s">
        <v>252</v>
      </c>
      <c r="J121" s="0" t="s">
        <v>302</v>
      </c>
      <c r="K121" s="0" t="s">
        <v>243</v>
      </c>
      <c r="M121" s="8" t="s">
        <v>248</v>
      </c>
      <c r="O121" s="0" t="s">
        <v>107</v>
      </c>
    </row>
    <row r="122" customFormat="false" ht="15" hidden="false" customHeight="false" outlineLevel="0" collapsed="false">
      <c r="A122" s="2" t="n">
        <v>45987</v>
      </c>
      <c r="B122" s="2" t="n">
        <v>45987</v>
      </c>
      <c r="C122" s="3" t="s">
        <v>462</v>
      </c>
      <c r="D122" s="3" t="s">
        <v>292</v>
      </c>
      <c r="E122" s="3" t="s">
        <v>43</v>
      </c>
      <c r="F122" s="4" t="n">
        <v>-23189.94</v>
      </c>
      <c r="G122" s="3" t="s">
        <v>237</v>
      </c>
      <c r="H122" s="3" t="s">
        <v>463</v>
      </c>
      <c r="I122" s="3" t="s">
        <v>264</v>
      </c>
      <c r="J122" s="3" t="s">
        <v>279</v>
      </c>
      <c r="K122" s="3" t="s">
        <v>52</v>
      </c>
      <c r="L122" s="3"/>
      <c r="M122" s="3"/>
      <c r="N122" s="3"/>
      <c r="O122" s="3" t="s">
        <v>107</v>
      </c>
    </row>
    <row r="123" customFormat="false" ht="15" hidden="false" customHeight="false" outlineLevel="0" collapsed="false">
      <c r="A123" s="5" t="n">
        <v>45987</v>
      </c>
      <c r="B123" s="5" t="n">
        <v>45957</v>
      </c>
      <c r="C123" s="0" t="s">
        <v>371</v>
      </c>
      <c r="D123" s="0" t="s">
        <v>242</v>
      </c>
      <c r="E123" s="0" t="s">
        <v>262</v>
      </c>
      <c r="F123" s="6" t="n">
        <v>258916.1</v>
      </c>
      <c r="G123" s="0" t="s">
        <v>244</v>
      </c>
      <c r="H123" s="0" t="s">
        <v>296</v>
      </c>
      <c r="I123" s="0" t="s">
        <v>264</v>
      </c>
      <c r="J123" s="0" t="s">
        <v>373</v>
      </c>
      <c r="K123" s="0" t="s">
        <v>262</v>
      </c>
      <c r="L123" s="7" t="s">
        <v>268</v>
      </c>
      <c r="M123" s="8" t="s">
        <v>248</v>
      </c>
      <c r="O123" s="0" t="s">
        <v>14</v>
      </c>
    </row>
    <row r="124" customFormat="false" ht="15" hidden="false" customHeight="false" outlineLevel="0" collapsed="false">
      <c r="A124" s="2" t="n">
        <v>45988</v>
      </c>
      <c r="B124" s="2" t="n">
        <v>45958</v>
      </c>
      <c r="C124" s="3" t="s">
        <v>464</v>
      </c>
      <c r="D124" s="3" t="s">
        <v>304</v>
      </c>
      <c r="E124" s="3" t="s">
        <v>23</v>
      </c>
      <c r="F124" s="4" t="n">
        <v>-22859.9</v>
      </c>
      <c r="G124" s="3" t="s">
        <v>237</v>
      </c>
      <c r="H124" s="3" t="s">
        <v>465</v>
      </c>
      <c r="I124" s="3" t="s">
        <v>252</v>
      </c>
      <c r="J124" s="3" t="s">
        <v>352</v>
      </c>
      <c r="K124" s="3" t="s">
        <v>52</v>
      </c>
      <c r="L124" s="3" t="s">
        <v>268</v>
      </c>
      <c r="M124" s="3"/>
      <c r="N124" s="3"/>
      <c r="O124" s="3" t="s">
        <v>14</v>
      </c>
    </row>
    <row r="125" customFormat="false" ht="15" hidden="false" customHeight="false" outlineLevel="0" collapsed="false">
      <c r="A125" s="5" t="n">
        <v>45988</v>
      </c>
      <c r="B125" s="5" t="n">
        <v>45988</v>
      </c>
      <c r="C125" s="0" t="s">
        <v>466</v>
      </c>
      <c r="D125" s="0" t="s">
        <v>292</v>
      </c>
      <c r="E125" s="0" t="s">
        <v>23</v>
      </c>
      <c r="F125" s="6" t="n">
        <v>-216389.97</v>
      </c>
      <c r="G125" s="0" t="s">
        <v>237</v>
      </c>
      <c r="I125" s="0" t="s">
        <v>264</v>
      </c>
      <c r="J125" s="0" t="s">
        <v>337</v>
      </c>
      <c r="K125" s="0" t="s">
        <v>272</v>
      </c>
      <c r="N125" s="8" t="s">
        <v>269</v>
      </c>
      <c r="O125" s="0" t="s">
        <v>107</v>
      </c>
    </row>
    <row r="126" customFormat="false" ht="15" hidden="false" customHeight="false" outlineLevel="0" collapsed="false">
      <c r="A126" s="2" t="n">
        <v>45989</v>
      </c>
      <c r="B126" s="2" t="n">
        <v>45989</v>
      </c>
      <c r="C126" s="3" t="s">
        <v>340</v>
      </c>
      <c r="D126" s="3" t="s">
        <v>242</v>
      </c>
      <c r="E126" s="3" t="s">
        <v>255</v>
      </c>
      <c r="F126" s="4" t="n">
        <v>310597.68</v>
      </c>
      <c r="G126" s="3" t="s">
        <v>244</v>
      </c>
      <c r="H126" s="3" t="s">
        <v>467</v>
      </c>
      <c r="I126" s="3" t="s">
        <v>252</v>
      </c>
      <c r="J126" s="3" t="s">
        <v>260</v>
      </c>
      <c r="K126" s="3" t="s">
        <v>255</v>
      </c>
      <c r="L126" s="3"/>
      <c r="M126" s="3" t="s">
        <v>248</v>
      </c>
      <c r="N126" s="3"/>
      <c r="O126" s="3" t="s">
        <v>107</v>
      </c>
    </row>
    <row r="127" customFormat="false" ht="15" hidden="false" customHeight="false" outlineLevel="0" collapsed="false">
      <c r="A127" s="5" t="n">
        <v>45989</v>
      </c>
      <c r="B127" s="5" t="n">
        <v>45959</v>
      </c>
      <c r="C127" s="0" t="s">
        <v>468</v>
      </c>
      <c r="D127" s="0" t="s">
        <v>236</v>
      </c>
      <c r="E127" s="0" t="s">
        <v>52</v>
      </c>
      <c r="F127" s="6" t="n">
        <v>-126301.06</v>
      </c>
      <c r="G127" s="0" t="s">
        <v>237</v>
      </c>
      <c r="H127" s="0" t="s">
        <v>469</v>
      </c>
      <c r="I127" s="0" t="s">
        <v>264</v>
      </c>
      <c r="J127" s="0" t="s">
        <v>334</v>
      </c>
      <c r="K127" s="0" t="s">
        <v>83</v>
      </c>
      <c r="L127" s="7" t="s">
        <v>268</v>
      </c>
      <c r="O127" s="0" t="s">
        <v>14</v>
      </c>
    </row>
    <row r="128" customFormat="false" ht="15" hidden="false" customHeight="false" outlineLevel="0" collapsed="false">
      <c r="A128" s="2" t="n">
        <v>45989</v>
      </c>
      <c r="B128" s="2" t="n">
        <v>45959</v>
      </c>
      <c r="C128" s="3" t="s">
        <v>341</v>
      </c>
      <c r="D128" s="3" t="s">
        <v>242</v>
      </c>
      <c r="E128" s="3" t="s">
        <v>243</v>
      </c>
      <c r="F128" s="4" t="n">
        <v>254531.63</v>
      </c>
      <c r="G128" s="3" t="s">
        <v>244</v>
      </c>
      <c r="H128" s="3" t="s">
        <v>256</v>
      </c>
      <c r="I128" s="3" t="s">
        <v>264</v>
      </c>
      <c r="J128" s="3" t="s">
        <v>343</v>
      </c>
      <c r="K128" s="3" t="s">
        <v>243</v>
      </c>
      <c r="L128" s="3" t="s">
        <v>268</v>
      </c>
      <c r="M128" s="3" t="s">
        <v>248</v>
      </c>
      <c r="N128" s="3"/>
      <c r="O128" s="3" t="s">
        <v>14</v>
      </c>
    </row>
    <row r="129" customFormat="false" ht="15" hidden="false" customHeight="false" outlineLevel="0" collapsed="false">
      <c r="A129" s="5" t="n">
        <v>45989</v>
      </c>
      <c r="B129" s="5" t="n">
        <v>45989</v>
      </c>
      <c r="C129" s="0" t="s">
        <v>415</v>
      </c>
      <c r="D129" s="0" t="s">
        <v>242</v>
      </c>
      <c r="E129" s="0" t="s">
        <v>262</v>
      </c>
      <c r="F129" s="6" t="n">
        <v>16114.97</v>
      </c>
      <c r="G129" s="0" t="s">
        <v>244</v>
      </c>
      <c r="H129" s="0" t="s">
        <v>470</v>
      </c>
      <c r="I129" s="0" t="s">
        <v>239</v>
      </c>
      <c r="J129" s="0" t="s">
        <v>302</v>
      </c>
      <c r="K129" s="0" t="s">
        <v>262</v>
      </c>
      <c r="M129" s="8" t="s">
        <v>248</v>
      </c>
      <c r="O129" s="0" t="s">
        <v>107</v>
      </c>
    </row>
    <row r="130" customFormat="false" ht="15" hidden="false" customHeight="false" outlineLevel="0" collapsed="false">
      <c r="A130" s="2" t="n">
        <v>45989</v>
      </c>
      <c r="B130" s="2" t="n">
        <v>45959</v>
      </c>
      <c r="C130" s="3" t="s">
        <v>300</v>
      </c>
      <c r="D130" s="3" t="s">
        <v>304</v>
      </c>
      <c r="E130" s="3" t="s">
        <v>243</v>
      </c>
      <c r="F130" s="4" t="n">
        <v>240994.36</v>
      </c>
      <c r="G130" s="3" t="s">
        <v>244</v>
      </c>
      <c r="H130" s="3" t="s">
        <v>326</v>
      </c>
      <c r="I130" s="3" t="s">
        <v>264</v>
      </c>
      <c r="J130" s="3" t="s">
        <v>302</v>
      </c>
      <c r="K130" s="3" t="s">
        <v>243</v>
      </c>
      <c r="L130" s="3" t="s">
        <v>268</v>
      </c>
      <c r="M130" s="3" t="s">
        <v>248</v>
      </c>
      <c r="N130" s="3"/>
      <c r="O130" s="3" t="s">
        <v>14</v>
      </c>
    </row>
    <row r="131" customFormat="false" ht="15" hidden="false" customHeight="false" outlineLevel="0" collapsed="false">
      <c r="A131" s="5" t="n">
        <v>45989</v>
      </c>
      <c r="B131" s="5" t="n">
        <v>45959</v>
      </c>
      <c r="C131" s="0" t="s">
        <v>325</v>
      </c>
      <c r="D131" s="0" t="s">
        <v>242</v>
      </c>
      <c r="E131" s="0" t="s">
        <v>262</v>
      </c>
      <c r="F131" s="6" t="n">
        <v>236877.98</v>
      </c>
      <c r="G131" s="0" t="s">
        <v>244</v>
      </c>
      <c r="H131" s="0" t="s">
        <v>467</v>
      </c>
      <c r="I131" s="0" t="s">
        <v>264</v>
      </c>
      <c r="J131" s="0" t="s">
        <v>327</v>
      </c>
      <c r="K131" s="0" t="s">
        <v>262</v>
      </c>
      <c r="L131" s="7" t="s">
        <v>268</v>
      </c>
      <c r="M131" s="8" t="s">
        <v>248</v>
      </c>
      <c r="O131" s="0" t="s">
        <v>14</v>
      </c>
    </row>
    <row r="132" customFormat="false" ht="15" hidden="false" customHeight="false" outlineLevel="0" collapsed="false">
      <c r="A132" s="2" t="n">
        <v>45991</v>
      </c>
      <c r="B132" s="2" t="n">
        <v>45961</v>
      </c>
      <c r="C132" s="3" t="s">
        <v>319</v>
      </c>
      <c r="D132" s="3" t="s">
        <v>242</v>
      </c>
      <c r="E132" s="3" t="s">
        <v>19</v>
      </c>
      <c r="F132" s="4" t="n">
        <v>-82327.48</v>
      </c>
      <c r="G132" s="3" t="s">
        <v>237</v>
      </c>
      <c r="H132" s="3" t="s">
        <v>471</v>
      </c>
      <c r="I132" s="3" t="s">
        <v>264</v>
      </c>
      <c r="J132" s="3" t="s">
        <v>240</v>
      </c>
      <c r="K132" s="3" t="s">
        <v>19</v>
      </c>
      <c r="L132" s="3" t="s">
        <v>268</v>
      </c>
      <c r="M132" s="3"/>
      <c r="N132" s="3"/>
      <c r="O132" s="3" t="s">
        <v>14</v>
      </c>
    </row>
    <row r="133" customFormat="false" ht="15" hidden="false" customHeight="false" outlineLevel="0" collapsed="false">
      <c r="A133" s="5" t="n">
        <v>45991</v>
      </c>
      <c r="B133" s="5" t="n">
        <v>45931</v>
      </c>
      <c r="C133" s="0" t="s">
        <v>472</v>
      </c>
      <c r="D133" s="0" t="s">
        <v>236</v>
      </c>
      <c r="E133" s="0" t="s">
        <v>83</v>
      </c>
      <c r="F133" s="6" t="n">
        <v>-62242.62</v>
      </c>
      <c r="G133" s="0" t="s">
        <v>237</v>
      </c>
      <c r="H133" s="0" t="s">
        <v>473</v>
      </c>
      <c r="I133" s="0" t="s">
        <v>252</v>
      </c>
      <c r="J133" s="0" t="s">
        <v>306</v>
      </c>
      <c r="K133" s="0" t="s">
        <v>307</v>
      </c>
      <c r="L133" s="7" t="s">
        <v>268</v>
      </c>
      <c r="O133" s="0" t="s">
        <v>14</v>
      </c>
    </row>
    <row r="134" customFormat="false" ht="15" hidden="false" customHeight="false" outlineLevel="0" collapsed="false">
      <c r="A134" s="2" t="n">
        <v>45993</v>
      </c>
      <c r="B134" s="2" t="n">
        <v>45993</v>
      </c>
      <c r="C134" s="3" t="s">
        <v>433</v>
      </c>
      <c r="D134" s="3" t="s">
        <v>242</v>
      </c>
      <c r="E134" s="3" t="s">
        <v>255</v>
      </c>
      <c r="F134" s="4" t="n">
        <v>31621.95</v>
      </c>
      <c r="G134" s="3" t="s">
        <v>244</v>
      </c>
      <c r="H134" s="3" t="s">
        <v>326</v>
      </c>
      <c r="I134" s="3" t="s">
        <v>252</v>
      </c>
      <c r="J134" s="3" t="s">
        <v>310</v>
      </c>
      <c r="K134" s="3" t="s">
        <v>255</v>
      </c>
      <c r="L134" s="3"/>
      <c r="M134" s="3" t="s">
        <v>248</v>
      </c>
      <c r="N134" s="3"/>
      <c r="O134" s="3" t="s">
        <v>177</v>
      </c>
    </row>
    <row r="135" customFormat="false" ht="15" hidden="false" customHeight="false" outlineLevel="0" collapsed="false">
      <c r="A135" s="5" t="n">
        <v>45993</v>
      </c>
      <c r="B135" s="5" t="n">
        <v>45993</v>
      </c>
      <c r="C135" s="0" t="s">
        <v>474</v>
      </c>
      <c r="D135" s="0" t="s">
        <v>242</v>
      </c>
      <c r="E135" s="0" t="s">
        <v>258</v>
      </c>
      <c r="F135" s="6" t="n">
        <v>64566.45</v>
      </c>
      <c r="G135" s="0" t="s">
        <v>244</v>
      </c>
      <c r="H135" s="0" t="s">
        <v>475</v>
      </c>
      <c r="I135" s="0" t="s">
        <v>264</v>
      </c>
      <c r="J135" s="0" t="s">
        <v>265</v>
      </c>
      <c r="K135" s="0" t="s">
        <v>258</v>
      </c>
      <c r="O135" s="0" t="s">
        <v>177</v>
      </c>
    </row>
    <row r="136" customFormat="false" ht="15" hidden="false" customHeight="false" outlineLevel="0" collapsed="false">
      <c r="A136" s="2" t="n">
        <v>45993</v>
      </c>
      <c r="B136" s="2" t="n">
        <v>45963</v>
      </c>
      <c r="C136" s="3" t="s">
        <v>317</v>
      </c>
      <c r="D136" s="3" t="s">
        <v>323</v>
      </c>
      <c r="E136" s="3" t="s">
        <v>25</v>
      </c>
      <c r="F136" s="4" t="n">
        <v>-204215.38</v>
      </c>
      <c r="G136" s="3" t="s">
        <v>237</v>
      </c>
      <c r="H136" s="3" t="s">
        <v>476</v>
      </c>
      <c r="I136" s="3" t="s">
        <v>246</v>
      </c>
      <c r="J136" s="3" t="s">
        <v>253</v>
      </c>
      <c r="K136" s="3" t="s">
        <v>52</v>
      </c>
      <c r="L136" s="3" t="s">
        <v>268</v>
      </c>
      <c r="M136" s="3"/>
      <c r="N136" s="3"/>
      <c r="O136" s="3" t="s">
        <v>107</v>
      </c>
    </row>
    <row r="137" customFormat="false" ht="15" hidden="false" customHeight="false" outlineLevel="0" collapsed="false">
      <c r="A137" s="5" t="n">
        <v>45993</v>
      </c>
      <c r="B137" s="5" t="n">
        <v>45993</v>
      </c>
      <c r="C137" s="0" t="s">
        <v>399</v>
      </c>
      <c r="D137" s="0" t="s">
        <v>242</v>
      </c>
      <c r="E137" s="0" t="s">
        <v>258</v>
      </c>
      <c r="F137" s="6" t="n">
        <v>146151.35</v>
      </c>
      <c r="G137" s="0" t="s">
        <v>244</v>
      </c>
      <c r="H137" s="0" t="s">
        <v>425</v>
      </c>
      <c r="I137" s="0" t="s">
        <v>239</v>
      </c>
      <c r="J137" s="0" t="s">
        <v>373</v>
      </c>
      <c r="K137" s="0" t="s">
        <v>258</v>
      </c>
      <c r="M137" s="8" t="s">
        <v>248</v>
      </c>
      <c r="O137" s="0" t="s">
        <v>177</v>
      </c>
    </row>
    <row r="138" customFormat="false" ht="15" hidden="false" customHeight="false" outlineLevel="0" collapsed="false">
      <c r="A138" s="2" t="n">
        <v>45994</v>
      </c>
      <c r="B138" s="2" t="n">
        <v>45964</v>
      </c>
      <c r="C138" s="3" t="s">
        <v>477</v>
      </c>
      <c r="D138" s="3" t="s">
        <v>323</v>
      </c>
      <c r="E138" s="3" t="s">
        <v>23</v>
      </c>
      <c r="F138" s="4" t="n">
        <v>-193853.64</v>
      </c>
      <c r="G138" s="3" t="s">
        <v>237</v>
      </c>
      <c r="H138" s="3" t="s">
        <v>478</v>
      </c>
      <c r="I138" s="3" t="s">
        <v>246</v>
      </c>
      <c r="J138" s="3" t="s">
        <v>380</v>
      </c>
      <c r="K138" s="3" t="s">
        <v>43</v>
      </c>
      <c r="L138" s="3" t="s">
        <v>268</v>
      </c>
      <c r="M138" s="3"/>
      <c r="N138" s="3"/>
      <c r="O138" s="3" t="s">
        <v>107</v>
      </c>
    </row>
    <row r="139" customFormat="false" ht="15" hidden="false" customHeight="false" outlineLevel="0" collapsed="false">
      <c r="A139" s="5" t="n">
        <v>45994</v>
      </c>
      <c r="B139" s="5" t="n">
        <v>45964</v>
      </c>
      <c r="C139" s="0" t="s">
        <v>479</v>
      </c>
      <c r="D139" s="0" t="s">
        <v>323</v>
      </c>
      <c r="E139" s="0" t="s">
        <v>23</v>
      </c>
      <c r="F139" s="6" t="n">
        <v>-193890.7</v>
      </c>
      <c r="G139" s="0" t="s">
        <v>237</v>
      </c>
      <c r="H139" s="0" t="s">
        <v>480</v>
      </c>
      <c r="I139" s="0" t="s">
        <v>252</v>
      </c>
      <c r="J139" s="0" t="s">
        <v>240</v>
      </c>
      <c r="K139" s="0" t="s">
        <v>19</v>
      </c>
      <c r="L139" s="7" t="s">
        <v>268</v>
      </c>
      <c r="O139" s="0" t="s">
        <v>107</v>
      </c>
    </row>
    <row r="140" customFormat="false" ht="15" hidden="false" customHeight="false" outlineLevel="0" collapsed="false">
      <c r="A140" s="2" t="n">
        <v>45995</v>
      </c>
      <c r="B140" s="2" t="n">
        <v>45965</v>
      </c>
      <c r="C140" s="3" t="s">
        <v>481</v>
      </c>
      <c r="D140" s="3" t="s">
        <v>242</v>
      </c>
      <c r="E140" s="3" t="s">
        <v>262</v>
      </c>
      <c r="F140" s="4" t="n">
        <v>224306.42</v>
      </c>
      <c r="G140" s="3" t="s">
        <v>244</v>
      </c>
      <c r="H140" s="3" t="s">
        <v>482</v>
      </c>
      <c r="I140" s="3" t="s">
        <v>264</v>
      </c>
      <c r="J140" s="3" t="s">
        <v>343</v>
      </c>
      <c r="K140" s="3" t="s">
        <v>262</v>
      </c>
      <c r="L140" s="3" t="s">
        <v>268</v>
      </c>
      <c r="M140" s="3"/>
      <c r="N140" s="3"/>
      <c r="O140" s="3" t="s">
        <v>107</v>
      </c>
    </row>
    <row r="141" customFormat="false" ht="15" hidden="false" customHeight="false" outlineLevel="0" collapsed="false">
      <c r="A141" s="5" t="n">
        <v>45995</v>
      </c>
      <c r="B141" s="5" t="n">
        <v>45965</v>
      </c>
      <c r="C141" s="0" t="s">
        <v>434</v>
      </c>
      <c r="D141" s="0" t="s">
        <v>236</v>
      </c>
      <c r="E141" s="0" t="s">
        <v>83</v>
      </c>
      <c r="F141" s="6" t="n">
        <v>-129185.65</v>
      </c>
      <c r="G141" s="0" t="s">
        <v>237</v>
      </c>
      <c r="I141" s="0" t="s">
        <v>264</v>
      </c>
      <c r="J141" s="0" t="s">
        <v>322</v>
      </c>
      <c r="K141" s="0" t="s">
        <v>52</v>
      </c>
      <c r="L141" s="7" t="s">
        <v>268</v>
      </c>
      <c r="N141" s="8" t="s">
        <v>269</v>
      </c>
      <c r="O141" s="0" t="s">
        <v>107</v>
      </c>
    </row>
    <row r="142" customFormat="false" ht="15" hidden="false" customHeight="false" outlineLevel="0" collapsed="false">
      <c r="A142" s="2" t="n">
        <v>45996</v>
      </c>
      <c r="B142" s="2" t="n">
        <v>45966</v>
      </c>
      <c r="C142" s="3" t="s">
        <v>483</v>
      </c>
      <c r="D142" s="3" t="s">
        <v>304</v>
      </c>
      <c r="E142" s="3" t="s">
        <v>25</v>
      </c>
      <c r="F142" s="4" t="n">
        <v>-248125.31</v>
      </c>
      <c r="G142" s="3" t="s">
        <v>237</v>
      </c>
      <c r="H142" s="3" t="s">
        <v>484</v>
      </c>
      <c r="I142" s="3" t="s">
        <v>252</v>
      </c>
      <c r="J142" s="3" t="s">
        <v>322</v>
      </c>
      <c r="K142" s="3" t="s">
        <v>52</v>
      </c>
      <c r="L142" s="3" t="s">
        <v>268</v>
      </c>
      <c r="M142" s="3"/>
      <c r="N142" s="3"/>
      <c r="O142" s="3" t="s">
        <v>107</v>
      </c>
    </row>
    <row r="143" customFormat="false" ht="15" hidden="false" customHeight="false" outlineLevel="0" collapsed="false">
      <c r="A143" s="5" t="n">
        <v>45996</v>
      </c>
      <c r="B143" s="5" t="n">
        <v>45996</v>
      </c>
      <c r="C143" s="0" t="s">
        <v>360</v>
      </c>
      <c r="D143" s="0" t="s">
        <v>242</v>
      </c>
      <c r="E143" s="0" t="s">
        <v>243</v>
      </c>
      <c r="F143" s="6" t="n">
        <v>59271.94</v>
      </c>
      <c r="G143" s="0" t="s">
        <v>244</v>
      </c>
      <c r="H143" s="0" t="s">
        <v>416</v>
      </c>
      <c r="I143" s="0" t="s">
        <v>252</v>
      </c>
      <c r="J143" s="0" t="s">
        <v>310</v>
      </c>
      <c r="K143" s="0" t="s">
        <v>243</v>
      </c>
      <c r="M143" s="8" t="s">
        <v>248</v>
      </c>
      <c r="O143" s="0" t="s">
        <v>177</v>
      </c>
    </row>
    <row r="144" customFormat="false" ht="15" hidden="false" customHeight="false" outlineLevel="0" collapsed="false">
      <c r="A144" s="2" t="n">
        <v>45998</v>
      </c>
      <c r="B144" s="2" t="n">
        <v>45998</v>
      </c>
      <c r="C144" s="3" t="s">
        <v>286</v>
      </c>
      <c r="D144" s="3" t="s">
        <v>242</v>
      </c>
      <c r="E144" s="3" t="s">
        <v>49</v>
      </c>
      <c r="F144" s="4" t="n">
        <v>-149512.99</v>
      </c>
      <c r="G144" s="3" t="s">
        <v>237</v>
      </c>
      <c r="H144" s="3"/>
      <c r="I144" s="3" t="s">
        <v>252</v>
      </c>
      <c r="J144" s="3" t="s">
        <v>288</v>
      </c>
      <c r="K144" s="3" t="s">
        <v>272</v>
      </c>
      <c r="L144" s="3"/>
      <c r="M144" s="3"/>
      <c r="N144" s="3" t="s">
        <v>269</v>
      </c>
      <c r="O144" s="3" t="s">
        <v>177</v>
      </c>
    </row>
    <row r="145" customFormat="false" ht="15" hidden="false" customHeight="false" outlineLevel="0" collapsed="false">
      <c r="A145" s="5" t="n">
        <v>45998</v>
      </c>
      <c r="B145" s="5" t="n">
        <v>45998</v>
      </c>
      <c r="C145" s="0" t="s">
        <v>328</v>
      </c>
      <c r="D145" s="0" t="s">
        <v>292</v>
      </c>
      <c r="E145" s="0" t="s">
        <v>52</v>
      </c>
      <c r="F145" s="6" t="n">
        <v>-82908.26</v>
      </c>
      <c r="G145" s="0" t="s">
        <v>237</v>
      </c>
      <c r="H145" s="0" t="s">
        <v>485</v>
      </c>
      <c r="I145" s="0" t="s">
        <v>252</v>
      </c>
      <c r="J145" s="0" t="s">
        <v>330</v>
      </c>
      <c r="K145" s="0" t="s">
        <v>23</v>
      </c>
      <c r="O145" s="0" t="s">
        <v>177</v>
      </c>
    </row>
    <row r="146" customFormat="false" ht="15" hidden="false" customHeight="false" outlineLevel="0" collapsed="false">
      <c r="A146" s="2" t="n">
        <v>45998</v>
      </c>
      <c r="B146" s="2" t="n">
        <v>45998</v>
      </c>
      <c r="C146" s="3" t="s">
        <v>390</v>
      </c>
      <c r="D146" s="3" t="s">
        <v>304</v>
      </c>
      <c r="E146" s="3" t="s">
        <v>52</v>
      </c>
      <c r="F146" s="4" t="n">
        <v>-62340.33</v>
      </c>
      <c r="G146" s="3" t="s">
        <v>237</v>
      </c>
      <c r="H146" s="3" t="s">
        <v>486</v>
      </c>
      <c r="I146" s="3" t="s">
        <v>239</v>
      </c>
      <c r="J146" s="3" t="s">
        <v>267</v>
      </c>
      <c r="K146" s="3" t="s">
        <v>52</v>
      </c>
      <c r="L146" s="3"/>
      <c r="M146" s="3"/>
      <c r="N146" s="3"/>
      <c r="O146" s="3" t="s">
        <v>177</v>
      </c>
    </row>
    <row r="147" customFormat="false" ht="15" hidden="false" customHeight="false" outlineLevel="0" collapsed="false">
      <c r="A147" s="5" t="n">
        <v>45998</v>
      </c>
      <c r="B147" s="5" t="n">
        <v>45938</v>
      </c>
      <c r="C147" s="0" t="s">
        <v>487</v>
      </c>
      <c r="D147" s="0" t="s">
        <v>277</v>
      </c>
      <c r="E147" s="0" t="s">
        <v>350</v>
      </c>
      <c r="F147" s="6" t="n">
        <v>-235509.84</v>
      </c>
      <c r="G147" s="0" t="s">
        <v>237</v>
      </c>
      <c r="H147" s="0" t="s">
        <v>488</v>
      </c>
      <c r="I147" s="0" t="s">
        <v>264</v>
      </c>
      <c r="J147" s="0" t="s">
        <v>275</v>
      </c>
      <c r="K147" s="0" t="s">
        <v>23</v>
      </c>
      <c r="L147" s="7" t="s">
        <v>268</v>
      </c>
      <c r="O147" s="0" t="s">
        <v>14</v>
      </c>
    </row>
    <row r="148" customFormat="false" ht="15" hidden="false" customHeight="false" outlineLevel="0" collapsed="false">
      <c r="A148" s="2" t="n">
        <v>45999</v>
      </c>
      <c r="B148" s="2" t="n">
        <v>45999</v>
      </c>
      <c r="C148" s="3" t="s">
        <v>357</v>
      </c>
      <c r="D148" s="3" t="s">
        <v>242</v>
      </c>
      <c r="E148" s="3" t="s">
        <v>307</v>
      </c>
      <c r="F148" s="4" t="n">
        <v>-27752.03</v>
      </c>
      <c r="G148" s="3" t="s">
        <v>237</v>
      </c>
      <c r="H148" s="3" t="s">
        <v>489</v>
      </c>
      <c r="I148" s="3" t="s">
        <v>264</v>
      </c>
      <c r="J148" s="3" t="s">
        <v>279</v>
      </c>
      <c r="K148" s="3" t="s">
        <v>52</v>
      </c>
      <c r="L148" s="3"/>
      <c r="M148" s="3"/>
      <c r="N148" s="3"/>
      <c r="O148" s="3" t="s">
        <v>177</v>
      </c>
    </row>
    <row r="149" customFormat="false" ht="15" hidden="false" customHeight="false" outlineLevel="0" collapsed="false">
      <c r="A149" s="5" t="n">
        <v>46000</v>
      </c>
      <c r="B149" s="5" t="n">
        <v>46000</v>
      </c>
      <c r="C149" s="0" t="s">
        <v>300</v>
      </c>
      <c r="D149" s="0" t="s">
        <v>323</v>
      </c>
      <c r="E149" s="0" t="s">
        <v>243</v>
      </c>
      <c r="F149" s="6" t="n">
        <v>128156.09</v>
      </c>
      <c r="G149" s="0" t="s">
        <v>244</v>
      </c>
      <c r="H149" s="0" t="s">
        <v>416</v>
      </c>
      <c r="I149" s="0" t="s">
        <v>264</v>
      </c>
      <c r="J149" s="0" t="s">
        <v>302</v>
      </c>
      <c r="K149" s="0" t="s">
        <v>243</v>
      </c>
      <c r="M149" s="8" t="s">
        <v>248</v>
      </c>
      <c r="O149" s="0" t="s">
        <v>177</v>
      </c>
    </row>
    <row r="150" customFormat="false" ht="15" hidden="false" customHeight="false" outlineLevel="0" collapsed="false">
      <c r="A150" s="2" t="n">
        <v>46000</v>
      </c>
      <c r="B150" s="2" t="n">
        <v>45970</v>
      </c>
      <c r="C150" s="3" t="s">
        <v>490</v>
      </c>
      <c r="D150" s="3" t="s">
        <v>304</v>
      </c>
      <c r="E150" s="3" t="s">
        <v>350</v>
      </c>
      <c r="F150" s="4" t="n">
        <v>-240386.56</v>
      </c>
      <c r="G150" s="3" t="s">
        <v>237</v>
      </c>
      <c r="H150" s="3" t="s">
        <v>491</v>
      </c>
      <c r="I150" s="3" t="s">
        <v>246</v>
      </c>
      <c r="J150" s="3" t="s">
        <v>322</v>
      </c>
      <c r="K150" s="3" t="s">
        <v>52</v>
      </c>
      <c r="L150" s="3" t="s">
        <v>268</v>
      </c>
      <c r="M150" s="3"/>
      <c r="N150" s="3"/>
      <c r="O150" s="3" t="s">
        <v>107</v>
      </c>
    </row>
    <row r="151" customFormat="false" ht="15" hidden="false" customHeight="false" outlineLevel="0" collapsed="false">
      <c r="A151" s="5" t="n">
        <v>46000</v>
      </c>
      <c r="B151" s="5" t="n">
        <v>46000</v>
      </c>
      <c r="C151" s="0" t="s">
        <v>492</v>
      </c>
      <c r="D151" s="0" t="s">
        <v>277</v>
      </c>
      <c r="E151" s="0" t="s">
        <v>49</v>
      </c>
      <c r="F151" s="6" t="n">
        <v>-115674.74</v>
      </c>
      <c r="G151" s="0" t="s">
        <v>237</v>
      </c>
      <c r="H151" s="0" t="s">
        <v>493</v>
      </c>
      <c r="I151" s="0" t="s">
        <v>239</v>
      </c>
      <c r="J151" s="0" t="s">
        <v>380</v>
      </c>
      <c r="K151" s="0" t="s">
        <v>43</v>
      </c>
      <c r="O151" s="0" t="s">
        <v>177</v>
      </c>
    </row>
    <row r="152" customFormat="false" ht="15" hidden="false" customHeight="false" outlineLevel="0" collapsed="false">
      <c r="A152" s="2" t="n">
        <v>46000</v>
      </c>
      <c r="B152" s="2" t="n">
        <v>45940</v>
      </c>
      <c r="C152" s="3" t="s">
        <v>392</v>
      </c>
      <c r="D152" s="3" t="s">
        <v>242</v>
      </c>
      <c r="E152" s="3" t="s">
        <v>243</v>
      </c>
      <c r="F152" s="4" t="n">
        <v>170491.13</v>
      </c>
      <c r="G152" s="3" t="s">
        <v>244</v>
      </c>
      <c r="H152" s="3" t="s">
        <v>494</v>
      </c>
      <c r="I152" s="3" t="s">
        <v>246</v>
      </c>
      <c r="J152" s="3" t="s">
        <v>373</v>
      </c>
      <c r="K152" s="3" t="s">
        <v>243</v>
      </c>
      <c r="L152" s="3" t="s">
        <v>268</v>
      </c>
      <c r="M152" s="3"/>
      <c r="N152" s="3"/>
      <c r="O152" s="3" t="s">
        <v>14</v>
      </c>
    </row>
    <row r="153" customFormat="false" ht="15" hidden="false" customHeight="false" outlineLevel="0" collapsed="false">
      <c r="A153" s="5" t="n">
        <v>46000</v>
      </c>
      <c r="B153" s="5" t="n">
        <v>46000</v>
      </c>
      <c r="C153" s="0" t="s">
        <v>495</v>
      </c>
      <c r="D153" s="0" t="s">
        <v>242</v>
      </c>
      <c r="E153" s="0" t="s">
        <v>262</v>
      </c>
      <c r="F153" s="6" t="n">
        <v>26815.75</v>
      </c>
      <c r="G153" s="0" t="s">
        <v>244</v>
      </c>
      <c r="H153" s="0" t="s">
        <v>372</v>
      </c>
      <c r="I153" s="0" t="s">
        <v>252</v>
      </c>
      <c r="J153" s="0" t="s">
        <v>260</v>
      </c>
      <c r="K153" s="0" t="s">
        <v>262</v>
      </c>
      <c r="M153" s="8" t="s">
        <v>248</v>
      </c>
      <c r="O153" s="0" t="s">
        <v>177</v>
      </c>
    </row>
    <row r="154" customFormat="false" ht="15" hidden="false" customHeight="false" outlineLevel="0" collapsed="false">
      <c r="A154" s="2" t="n">
        <v>46001</v>
      </c>
      <c r="B154" s="2" t="n">
        <v>46001</v>
      </c>
      <c r="C154" s="3" t="s">
        <v>477</v>
      </c>
      <c r="D154" s="3" t="s">
        <v>323</v>
      </c>
      <c r="E154" s="3" t="s">
        <v>23</v>
      </c>
      <c r="F154" s="4" t="n">
        <v>-21426.84</v>
      </c>
      <c r="G154" s="3" t="s">
        <v>237</v>
      </c>
      <c r="H154" s="3"/>
      <c r="I154" s="3" t="s">
        <v>264</v>
      </c>
      <c r="J154" s="3" t="s">
        <v>380</v>
      </c>
      <c r="K154" s="3" t="s">
        <v>43</v>
      </c>
      <c r="L154" s="3"/>
      <c r="M154" s="3"/>
      <c r="N154" s="3" t="s">
        <v>269</v>
      </c>
      <c r="O154" s="3" t="s">
        <v>177</v>
      </c>
    </row>
    <row r="155" customFormat="false" ht="15" hidden="false" customHeight="false" outlineLevel="0" collapsed="false">
      <c r="A155" s="5" t="n">
        <v>46001</v>
      </c>
      <c r="B155" s="5" t="n">
        <v>46001</v>
      </c>
      <c r="C155" s="0" t="s">
        <v>271</v>
      </c>
      <c r="D155" s="0" t="s">
        <v>250</v>
      </c>
      <c r="E155" s="0" t="s">
        <v>272</v>
      </c>
      <c r="F155" s="6" t="n">
        <v>-30143.35</v>
      </c>
      <c r="G155" s="0" t="s">
        <v>237</v>
      </c>
      <c r="H155" s="0" t="s">
        <v>496</v>
      </c>
      <c r="I155" s="0" t="s">
        <v>264</v>
      </c>
      <c r="J155" s="0" t="s">
        <v>240</v>
      </c>
      <c r="K155" s="0" t="s">
        <v>19</v>
      </c>
      <c r="O155" s="0" t="s">
        <v>177</v>
      </c>
    </row>
    <row r="156" customFormat="false" ht="15" hidden="false" customHeight="false" outlineLevel="0" collapsed="false">
      <c r="A156" s="2" t="n">
        <v>46001</v>
      </c>
      <c r="B156" s="2" t="n">
        <v>46001</v>
      </c>
      <c r="C156" s="3" t="s">
        <v>241</v>
      </c>
      <c r="D156" s="3" t="s">
        <v>323</v>
      </c>
      <c r="E156" s="3" t="s">
        <v>243</v>
      </c>
      <c r="F156" s="4" t="n">
        <v>189829.65</v>
      </c>
      <c r="G156" s="3" t="s">
        <v>244</v>
      </c>
      <c r="H156" s="3" t="s">
        <v>448</v>
      </c>
      <c r="I156" s="3" t="s">
        <v>239</v>
      </c>
      <c r="J156" s="3" t="s">
        <v>247</v>
      </c>
      <c r="K156" s="3" t="s">
        <v>243</v>
      </c>
      <c r="L156" s="3"/>
      <c r="M156" s="3" t="s">
        <v>248</v>
      </c>
      <c r="N156" s="3"/>
      <c r="O156" s="3" t="s">
        <v>177</v>
      </c>
    </row>
    <row r="157" customFormat="false" ht="15" hidden="false" customHeight="false" outlineLevel="0" collapsed="false">
      <c r="A157" s="5" t="n">
        <v>46001</v>
      </c>
      <c r="B157" s="5" t="n">
        <v>46001</v>
      </c>
      <c r="C157" s="0" t="s">
        <v>340</v>
      </c>
      <c r="D157" s="0" t="s">
        <v>242</v>
      </c>
      <c r="E157" s="0" t="s">
        <v>255</v>
      </c>
      <c r="F157" s="6" t="n">
        <v>33526.71</v>
      </c>
      <c r="G157" s="0" t="s">
        <v>244</v>
      </c>
      <c r="H157" s="0" t="s">
        <v>326</v>
      </c>
      <c r="I157" s="0" t="s">
        <v>239</v>
      </c>
      <c r="J157" s="0" t="s">
        <v>260</v>
      </c>
      <c r="K157" s="0" t="s">
        <v>255</v>
      </c>
      <c r="M157" s="8" t="s">
        <v>248</v>
      </c>
      <c r="O157" s="0" t="s">
        <v>177</v>
      </c>
    </row>
    <row r="158" customFormat="false" ht="15" hidden="false" customHeight="false" outlineLevel="0" collapsed="false">
      <c r="A158" s="2" t="n">
        <v>46001</v>
      </c>
      <c r="B158" s="2" t="n">
        <v>46001</v>
      </c>
      <c r="C158" s="3" t="s">
        <v>497</v>
      </c>
      <c r="D158" s="3" t="s">
        <v>242</v>
      </c>
      <c r="E158" s="3" t="s">
        <v>61</v>
      </c>
      <c r="F158" s="4" t="n">
        <v>-199540.07</v>
      </c>
      <c r="G158" s="3" t="s">
        <v>237</v>
      </c>
      <c r="H158" s="3" t="s">
        <v>498</v>
      </c>
      <c r="I158" s="3" t="s">
        <v>252</v>
      </c>
      <c r="J158" s="3" t="s">
        <v>352</v>
      </c>
      <c r="K158" s="3" t="s">
        <v>52</v>
      </c>
      <c r="L158" s="3"/>
      <c r="M158" s="3"/>
      <c r="N158" s="3"/>
      <c r="O158" s="3" t="s">
        <v>177</v>
      </c>
    </row>
    <row r="159" customFormat="false" ht="15" hidden="false" customHeight="false" outlineLevel="0" collapsed="false">
      <c r="A159" s="5" t="n">
        <v>46001</v>
      </c>
      <c r="B159" s="5" t="n">
        <v>46001</v>
      </c>
      <c r="C159" s="0" t="s">
        <v>499</v>
      </c>
      <c r="D159" s="0" t="s">
        <v>242</v>
      </c>
      <c r="E159" s="0" t="s">
        <v>258</v>
      </c>
      <c r="F159" s="6" t="n">
        <v>52346.43</v>
      </c>
      <c r="G159" s="0" t="s">
        <v>244</v>
      </c>
      <c r="H159" s="0" t="s">
        <v>500</v>
      </c>
      <c r="I159" s="0" t="s">
        <v>239</v>
      </c>
      <c r="J159" s="0" t="s">
        <v>327</v>
      </c>
      <c r="K159" s="0" t="s">
        <v>258</v>
      </c>
      <c r="O159" s="0" t="s">
        <v>177</v>
      </c>
    </row>
    <row r="160" customFormat="false" ht="15" hidden="false" customHeight="false" outlineLevel="0" collapsed="false">
      <c r="A160" s="2" t="n">
        <v>46002</v>
      </c>
      <c r="B160" s="2" t="n">
        <v>46002</v>
      </c>
      <c r="C160" s="3" t="s">
        <v>283</v>
      </c>
      <c r="D160" s="3" t="s">
        <v>250</v>
      </c>
      <c r="E160" s="3" t="s">
        <v>43</v>
      </c>
      <c r="F160" s="4" t="n">
        <v>-100646.08</v>
      </c>
      <c r="G160" s="3" t="s">
        <v>237</v>
      </c>
      <c r="H160" s="3"/>
      <c r="I160" s="3" t="s">
        <v>264</v>
      </c>
      <c r="J160" s="3" t="s">
        <v>267</v>
      </c>
      <c r="K160" s="3" t="s">
        <v>52</v>
      </c>
      <c r="L160" s="3"/>
      <c r="M160" s="3"/>
      <c r="N160" s="3" t="s">
        <v>269</v>
      </c>
      <c r="O160" s="3" t="s">
        <v>177</v>
      </c>
    </row>
    <row r="161" customFormat="false" ht="15" hidden="false" customHeight="false" outlineLevel="0" collapsed="false">
      <c r="A161" s="5" t="n">
        <v>46002</v>
      </c>
      <c r="B161" s="5" t="n">
        <v>46002</v>
      </c>
      <c r="C161" s="0" t="s">
        <v>501</v>
      </c>
      <c r="D161" s="0" t="s">
        <v>292</v>
      </c>
      <c r="E161" s="0" t="s">
        <v>19</v>
      </c>
      <c r="F161" s="6" t="n">
        <v>-78781.27</v>
      </c>
      <c r="G161" s="0" t="s">
        <v>237</v>
      </c>
      <c r="I161" s="0" t="s">
        <v>246</v>
      </c>
      <c r="J161" s="0" t="s">
        <v>334</v>
      </c>
      <c r="K161" s="0" t="s">
        <v>83</v>
      </c>
      <c r="N161" s="8" t="s">
        <v>269</v>
      </c>
      <c r="O161" s="0" t="s">
        <v>177</v>
      </c>
    </row>
    <row r="162" customFormat="false" ht="15" hidden="false" customHeight="false" outlineLevel="0" collapsed="false">
      <c r="A162" s="2" t="n">
        <v>46002</v>
      </c>
      <c r="B162" s="2" t="n">
        <v>46002</v>
      </c>
      <c r="C162" s="3" t="s">
        <v>376</v>
      </c>
      <c r="D162" s="3" t="s">
        <v>242</v>
      </c>
      <c r="E162" s="3" t="s">
        <v>243</v>
      </c>
      <c r="F162" s="4" t="n">
        <v>248190.82</v>
      </c>
      <c r="G162" s="3" t="s">
        <v>244</v>
      </c>
      <c r="H162" s="3" t="s">
        <v>245</v>
      </c>
      <c r="I162" s="3" t="s">
        <v>264</v>
      </c>
      <c r="J162" s="3" t="s">
        <v>327</v>
      </c>
      <c r="K162" s="3" t="s">
        <v>243</v>
      </c>
      <c r="L162" s="3"/>
      <c r="M162" s="3" t="s">
        <v>248</v>
      </c>
      <c r="N162" s="3"/>
      <c r="O162" s="3" t="s">
        <v>177</v>
      </c>
    </row>
    <row r="163" customFormat="false" ht="15" hidden="false" customHeight="false" outlineLevel="0" collapsed="false">
      <c r="A163" s="5" t="n">
        <v>46002</v>
      </c>
      <c r="B163" s="5" t="n">
        <v>45972</v>
      </c>
      <c r="C163" s="0" t="s">
        <v>431</v>
      </c>
      <c r="D163" s="0" t="s">
        <v>304</v>
      </c>
      <c r="E163" s="0" t="s">
        <v>52</v>
      </c>
      <c r="F163" s="6" t="n">
        <v>-201072.24</v>
      </c>
      <c r="G163" s="0" t="s">
        <v>237</v>
      </c>
      <c r="I163" s="0" t="s">
        <v>239</v>
      </c>
      <c r="J163" s="0" t="s">
        <v>275</v>
      </c>
      <c r="K163" s="0" t="s">
        <v>23</v>
      </c>
      <c r="L163" s="7" t="s">
        <v>268</v>
      </c>
      <c r="N163" s="8" t="s">
        <v>269</v>
      </c>
      <c r="O163" s="0" t="s">
        <v>107</v>
      </c>
    </row>
    <row r="164" customFormat="false" ht="15" hidden="false" customHeight="false" outlineLevel="0" collapsed="false">
      <c r="A164" s="2" t="n">
        <v>46003</v>
      </c>
      <c r="B164" s="2" t="n">
        <v>46003</v>
      </c>
      <c r="C164" s="3" t="s">
        <v>502</v>
      </c>
      <c r="D164" s="3" t="s">
        <v>277</v>
      </c>
      <c r="E164" s="3" t="s">
        <v>25</v>
      </c>
      <c r="F164" s="4" t="n">
        <v>-246601.5</v>
      </c>
      <c r="G164" s="3" t="s">
        <v>237</v>
      </c>
      <c r="H164" s="3" t="s">
        <v>503</v>
      </c>
      <c r="I164" s="3" t="s">
        <v>252</v>
      </c>
      <c r="J164" s="3" t="s">
        <v>337</v>
      </c>
      <c r="K164" s="3" t="s">
        <v>272</v>
      </c>
      <c r="L164" s="3"/>
      <c r="M164" s="3"/>
      <c r="N164" s="3"/>
      <c r="O164" s="3" t="s">
        <v>177</v>
      </c>
    </row>
    <row r="165" customFormat="false" ht="15" hidden="false" customHeight="false" outlineLevel="0" collapsed="false">
      <c r="A165" s="5" t="n">
        <v>46003</v>
      </c>
      <c r="B165" s="5" t="n">
        <v>46003</v>
      </c>
      <c r="C165" s="0" t="s">
        <v>444</v>
      </c>
      <c r="D165" s="0" t="s">
        <v>242</v>
      </c>
      <c r="E165" s="0" t="s">
        <v>255</v>
      </c>
      <c r="F165" s="6" t="n">
        <v>225678.14</v>
      </c>
      <c r="G165" s="0" t="s">
        <v>244</v>
      </c>
      <c r="H165" s="0" t="s">
        <v>504</v>
      </c>
      <c r="I165" s="0" t="s">
        <v>264</v>
      </c>
      <c r="J165" s="0" t="s">
        <v>297</v>
      </c>
      <c r="K165" s="0" t="s">
        <v>255</v>
      </c>
      <c r="O165" s="0" t="s">
        <v>177</v>
      </c>
    </row>
    <row r="166" customFormat="false" ht="15" hidden="false" customHeight="false" outlineLevel="0" collapsed="false">
      <c r="A166" s="2" t="n">
        <v>46004</v>
      </c>
      <c r="B166" s="2" t="n">
        <v>46004</v>
      </c>
      <c r="C166" s="3" t="s">
        <v>505</v>
      </c>
      <c r="D166" s="3" t="s">
        <v>292</v>
      </c>
      <c r="E166" s="3" t="s">
        <v>43</v>
      </c>
      <c r="F166" s="4" t="n">
        <v>-154718.05</v>
      </c>
      <c r="G166" s="3" t="s">
        <v>237</v>
      </c>
      <c r="H166" s="3"/>
      <c r="I166" s="3" t="s">
        <v>252</v>
      </c>
      <c r="J166" s="3" t="s">
        <v>288</v>
      </c>
      <c r="K166" s="3" t="s">
        <v>272</v>
      </c>
      <c r="L166" s="3"/>
      <c r="M166" s="3"/>
      <c r="N166" s="3" t="s">
        <v>269</v>
      </c>
      <c r="O166" s="3" t="s">
        <v>177</v>
      </c>
    </row>
    <row r="167" customFormat="false" ht="15" hidden="false" customHeight="false" outlineLevel="0" collapsed="false">
      <c r="A167" s="5" t="n">
        <v>46004</v>
      </c>
      <c r="B167" s="5" t="n">
        <v>45974</v>
      </c>
      <c r="C167" s="0" t="s">
        <v>506</v>
      </c>
      <c r="D167" s="0" t="s">
        <v>242</v>
      </c>
      <c r="E167" s="0" t="s">
        <v>350</v>
      </c>
      <c r="F167" s="6" t="n">
        <v>-75790.23</v>
      </c>
      <c r="G167" s="0" t="s">
        <v>237</v>
      </c>
      <c r="I167" s="0" t="s">
        <v>264</v>
      </c>
      <c r="J167" s="0" t="s">
        <v>337</v>
      </c>
      <c r="K167" s="0" t="s">
        <v>272</v>
      </c>
      <c r="L167" s="7" t="s">
        <v>268</v>
      </c>
      <c r="N167" s="8" t="s">
        <v>269</v>
      </c>
      <c r="O167" s="0" t="s">
        <v>107</v>
      </c>
    </row>
    <row r="168" customFormat="false" ht="15" hidden="false" customHeight="false" outlineLevel="0" collapsed="false">
      <c r="A168" s="2" t="n">
        <v>46005</v>
      </c>
      <c r="B168" s="2" t="n">
        <v>46005</v>
      </c>
      <c r="C168" s="3" t="s">
        <v>507</v>
      </c>
      <c r="D168" s="3" t="s">
        <v>304</v>
      </c>
      <c r="E168" s="3" t="s">
        <v>255</v>
      </c>
      <c r="F168" s="4" t="n">
        <v>288473.15</v>
      </c>
      <c r="G168" s="3" t="s">
        <v>244</v>
      </c>
      <c r="H168" s="3" t="s">
        <v>508</v>
      </c>
      <c r="I168" s="3" t="s">
        <v>264</v>
      </c>
      <c r="J168" s="3" t="s">
        <v>373</v>
      </c>
      <c r="K168" s="3" t="s">
        <v>255</v>
      </c>
      <c r="L168" s="3"/>
      <c r="M168" s="3"/>
      <c r="N168" s="3"/>
      <c r="O168" s="3" t="s">
        <v>177</v>
      </c>
    </row>
    <row r="169" customFormat="false" ht="15" hidden="false" customHeight="false" outlineLevel="0" collapsed="false">
      <c r="A169" s="5" t="n">
        <v>46006</v>
      </c>
      <c r="B169" s="5" t="n">
        <v>46006</v>
      </c>
      <c r="C169" s="0" t="s">
        <v>483</v>
      </c>
      <c r="D169" s="0" t="s">
        <v>250</v>
      </c>
      <c r="E169" s="0" t="s">
        <v>25</v>
      </c>
      <c r="F169" s="6" t="n">
        <v>-227722.71</v>
      </c>
      <c r="G169" s="0" t="s">
        <v>237</v>
      </c>
      <c r="I169" s="0" t="s">
        <v>264</v>
      </c>
      <c r="J169" s="0" t="s">
        <v>322</v>
      </c>
      <c r="K169" s="0" t="s">
        <v>52</v>
      </c>
      <c r="N169" s="8" t="s">
        <v>269</v>
      </c>
      <c r="O169" s="0" t="s">
        <v>177</v>
      </c>
    </row>
    <row r="170" customFormat="false" ht="15" hidden="false" customHeight="false" outlineLevel="0" collapsed="false">
      <c r="A170" s="2" t="n">
        <v>46007</v>
      </c>
      <c r="B170" s="2" t="n">
        <v>45947</v>
      </c>
      <c r="C170" s="3" t="s">
        <v>369</v>
      </c>
      <c r="D170" s="3" t="s">
        <v>250</v>
      </c>
      <c r="E170" s="3" t="s">
        <v>307</v>
      </c>
      <c r="F170" s="4" t="n">
        <v>-2540.26</v>
      </c>
      <c r="G170" s="3" t="s">
        <v>237</v>
      </c>
      <c r="H170" s="3"/>
      <c r="I170" s="3" t="s">
        <v>264</v>
      </c>
      <c r="J170" s="3" t="s">
        <v>334</v>
      </c>
      <c r="K170" s="3" t="s">
        <v>83</v>
      </c>
      <c r="L170" s="3" t="s">
        <v>268</v>
      </c>
      <c r="M170" s="3"/>
      <c r="N170" s="3" t="s">
        <v>269</v>
      </c>
      <c r="O170" s="3" t="s">
        <v>14</v>
      </c>
    </row>
    <row r="171" customFormat="false" ht="15" hidden="false" customHeight="false" outlineLevel="0" collapsed="false">
      <c r="A171" s="5" t="n">
        <v>46007</v>
      </c>
      <c r="B171" s="5" t="n">
        <v>46007</v>
      </c>
      <c r="C171" s="0" t="s">
        <v>509</v>
      </c>
      <c r="D171" s="0" t="s">
        <v>292</v>
      </c>
      <c r="E171" s="0" t="s">
        <v>83</v>
      </c>
      <c r="F171" s="6" t="n">
        <v>-78888.73</v>
      </c>
      <c r="G171" s="0" t="s">
        <v>237</v>
      </c>
      <c r="H171" s="0" t="s">
        <v>510</v>
      </c>
      <c r="I171" s="0" t="s">
        <v>264</v>
      </c>
      <c r="J171" s="0" t="s">
        <v>240</v>
      </c>
      <c r="K171" s="0" t="s">
        <v>19</v>
      </c>
      <c r="O171" s="0" t="s">
        <v>177</v>
      </c>
    </row>
    <row r="172" customFormat="false" ht="15" hidden="false" customHeight="false" outlineLevel="0" collapsed="false">
      <c r="A172" s="2" t="n">
        <v>46008</v>
      </c>
      <c r="B172" s="2" t="n">
        <v>45978</v>
      </c>
      <c r="C172" s="3" t="s">
        <v>511</v>
      </c>
      <c r="D172" s="3" t="s">
        <v>242</v>
      </c>
      <c r="E172" s="3" t="s">
        <v>307</v>
      </c>
      <c r="F172" s="4" t="n">
        <v>-75637.22</v>
      </c>
      <c r="G172" s="3" t="s">
        <v>237</v>
      </c>
      <c r="H172" s="3"/>
      <c r="I172" s="3" t="s">
        <v>239</v>
      </c>
      <c r="J172" s="3" t="s">
        <v>288</v>
      </c>
      <c r="K172" s="3" t="s">
        <v>272</v>
      </c>
      <c r="L172" s="3" t="s">
        <v>268</v>
      </c>
      <c r="M172" s="3"/>
      <c r="N172" s="3" t="s">
        <v>269</v>
      </c>
      <c r="O172" s="3" t="s">
        <v>107</v>
      </c>
    </row>
    <row r="173" customFormat="false" ht="15" hidden="false" customHeight="false" outlineLevel="0" collapsed="false">
      <c r="A173" s="5" t="n">
        <v>46008</v>
      </c>
      <c r="B173" s="5" t="n">
        <v>45978</v>
      </c>
      <c r="C173" s="0" t="s">
        <v>314</v>
      </c>
      <c r="D173" s="0" t="s">
        <v>242</v>
      </c>
      <c r="E173" s="0" t="s">
        <v>255</v>
      </c>
      <c r="F173" s="6" t="n">
        <v>282604.46</v>
      </c>
      <c r="G173" s="0" t="s">
        <v>244</v>
      </c>
      <c r="H173" s="0" t="s">
        <v>342</v>
      </c>
      <c r="I173" s="0" t="s">
        <v>252</v>
      </c>
      <c r="J173" s="0" t="s">
        <v>265</v>
      </c>
      <c r="K173" s="0" t="s">
        <v>255</v>
      </c>
      <c r="L173" s="7" t="s">
        <v>268</v>
      </c>
      <c r="M173" s="8" t="s">
        <v>248</v>
      </c>
      <c r="O173" s="0" t="s">
        <v>107</v>
      </c>
    </row>
    <row r="174" customFormat="false" ht="15" hidden="false" customHeight="false" outlineLevel="0" collapsed="false">
      <c r="A174" s="2" t="n">
        <v>46008</v>
      </c>
      <c r="B174" s="2" t="n">
        <v>45978</v>
      </c>
      <c r="C174" s="3" t="s">
        <v>300</v>
      </c>
      <c r="D174" s="3" t="s">
        <v>242</v>
      </c>
      <c r="E174" s="3" t="s">
        <v>243</v>
      </c>
      <c r="F174" s="4" t="n">
        <v>272552.29</v>
      </c>
      <c r="G174" s="3" t="s">
        <v>244</v>
      </c>
      <c r="H174" s="3" t="s">
        <v>388</v>
      </c>
      <c r="I174" s="3" t="s">
        <v>252</v>
      </c>
      <c r="J174" s="3" t="s">
        <v>302</v>
      </c>
      <c r="K174" s="3" t="s">
        <v>243</v>
      </c>
      <c r="L174" s="3" t="s">
        <v>268</v>
      </c>
      <c r="M174" s="3" t="s">
        <v>248</v>
      </c>
      <c r="N174" s="3"/>
      <c r="O174" s="3" t="s">
        <v>107</v>
      </c>
    </row>
    <row r="175" customFormat="false" ht="15" hidden="false" customHeight="false" outlineLevel="0" collapsed="false">
      <c r="A175" s="5" t="n">
        <v>46008</v>
      </c>
      <c r="B175" s="5" t="n">
        <v>46008</v>
      </c>
      <c r="C175" s="0" t="s">
        <v>512</v>
      </c>
      <c r="D175" s="0" t="s">
        <v>236</v>
      </c>
      <c r="E175" s="0" t="s">
        <v>49</v>
      </c>
      <c r="F175" s="6" t="n">
        <v>-211843.97</v>
      </c>
      <c r="G175" s="0" t="s">
        <v>237</v>
      </c>
      <c r="H175" s="0" t="s">
        <v>513</v>
      </c>
      <c r="I175" s="0" t="s">
        <v>252</v>
      </c>
      <c r="J175" s="0" t="s">
        <v>279</v>
      </c>
      <c r="K175" s="0" t="s">
        <v>52</v>
      </c>
      <c r="O175" s="0" t="s">
        <v>177</v>
      </c>
    </row>
    <row r="176" customFormat="false" ht="15" hidden="false" customHeight="false" outlineLevel="0" collapsed="false">
      <c r="A176" s="2" t="n">
        <v>46010</v>
      </c>
      <c r="B176" s="2" t="n">
        <v>45980</v>
      </c>
      <c r="C176" s="3" t="s">
        <v>514</v>
      </c>
      <c r="D176" s="3" t="s">
        <v>304</v>
      </c>
      <c r="E176" s="3" t="s">
        <v>43</v>
      </c>
      <c r="F176" s="4" t="n">
        <v>-206396.45</v>
      </c>
      <c r="G176" s="3" t="s">
        <v>237</v>
      </c>
      <c r="H176" s="3"/>
      <c r="I176" s="3" t="s">
        <v>264</v>
      </c>
      <c r="J176" s="3" t="s">
        <v>253</v>
      </c>
      <c r="K176" s="3" t="s">
        <v>52</v>
      </c>
      <c r="L176" s="3" t="s">
        <v>268</v>
      </c>
      <c r="M176" s="3"/>
      <c r="N176" s="3" t="s">
        <v>269</v>
      </c>
      <c r="O176" s="3" t="s">
        <v>107</v>
      </c>
    </row>
    <row r="177" customFormat="false" ht="15" hidden="false" customHeight="false" outlineLevel="0" collapsed="false">
      <c r="A177" s="5" t="n">
        <v>46010</v>
      </c>
      <c r="B177" s="5" t="n">
        <v>46010</v>
      </c>
      <c r="C177" s="0" t="s">
        <v>438</v>
      </c>
      <c r="D177" s="0" t="s">
        <v>236</v>
      </c>
      <c r="E177" s="0" t="s">
        <v>61</v>
      </c>
      <c r="F177" s="6" t="n">
        <v>-194083.55</v>
      </c>
      <c r="G177" s="0" t="s">
        <v>237</v>
      </c>
      <c r="H177" s="0" t="s">
        <v>515</v>
      </c>
      <c r="I177" s="0" t="s">
        <v>239</v>
      </c>
      <c r="J177" s="0" t="s">
        <v>240</v>
      </c>
      <c r="K177" s="0" t="s">
        <v>19</v>
      </c>
      <c r="O177" s="0" t="s">
        <v>177</v>
      </c>
    </row>
    <row r="178" customFormat="false" ht="15" hidden="false" customHeight="false" outlineLevel="0" collapsed="false">
      <c r="A178" s="2" t="n">
        <v>46011</v>
      </c>
      <c r="B178" s="2" t="n">
        <v>46011</v>
      </c>
      <c r="C178" s="3" t="s">
        <v>516</v>
      </c>
      <c r="D178" s="3" t="s">
        <v>292</v>
      </c>
      <c r="E178" s="3" t="s">
        <v>43</v>
      </c>
      <c r="F178" s="4" t="n">
        <v>-170442.8</v>
      </c>
      <c r="G178" s="3" t="s">
        <v>237</v>
      </c>
      <c r="H178" s="3" t="s">
        <v>517</v>
      </c>
      <c r="I178" s="3" t="s">
        <v>239</v>
      </c>
      <c r="J178" s="3" t="s">
        <v>240</v>
      </c>
      <c r="K178" s="3" t="s">
        <v>19</v>
      </c>
      <c r="L178" s="3"/>
      <c r="M178" s="3"/>
      <c r="N178" s="3"/>
      <c r="O178" s="3" t="s">
        <v>177</v>
      </c>
    </row>
    <row r="179" customFormat="false" ht="15" hidden="false" customHeight="false" outlineLevel="0" collapsed="false">
      <c r="A179" s="5" t="n">
        <v>46011</v>
      </c>
      <c r="B179" s="5" t="n">
        <v>45981</v>
      </c>
      <c r="C179" s="0" t="s">
        <v>399</v>
      </c>
      <c r="D179" s="0" t="s">
        <v>242</v>
      </c>
      <c r="E179" s="0" t="s">
        <v>258</v>
      </c>
      <c r="F179" s="6" t="n">
        <v>301687.07</v>
      </c>
      <c r="G179" s="0" t="s">
        <v>244</v>
      </c>
      <c r="H179" s="0" t="s">
        <v>518</v>
      </c>
      <c r="I179" s="0" t="s">
        <v>264</v>
      </c>
      <c r="J179" s="0" t="s">
        <v>373</v>
      </c>
      <c r="K179" s="0" t="s">
        <v>258</v>
      </c>
      <c r="L179" s="7" t="s">
        <v>268</v>
      </c>
      <c r="O179" s="0" t="s">
        <v>107</v>
      </c>
    </row>
    <row r="180" customFormat="false" ht="15" hidden="false" customHeight="false" outlineLevel="0" collapsed="false">
      <c r="A180" s="2" t="n">
        <v>46012</v>
      </c>
      <c r="B180" s="2" t="n">
        <v>45982</v>
      </c>
      <c r="C180" s="3" t="s">
        <v>325</v>
      </c>
      <c r="D180" s="3" t="s">
        <v>242</v>
      </c>
      <c r="E180" s="3" t="s">
        <v>262</v>
      </c>
      <c r="F180" s="4" t="n">
        <v>178387.73</v>
      </c>
      <c r="G180" s="3" t="s">
        <v>244</v>
      </c>
      <c r="H180" s="3" t="s">
        <v>519</v>
      </c>
      <c r="I180" s="3" t="s">
        <v>252</v>
      </c>
      <c r="J180" s="3" t="s">
        <v>327</v>
      </c>
      <c r="K180" s="3" t="s">
        <v>262</v>
      </c>
      <c r="L180" s="3" t="s">
        <v>268</v>
      </c>
      <c r="M180" s="3" t="s">
        <v>248</v>
      </c>
      <c r="N180" s="3"/>
      <c r="O180" s="3" t="s">
        <v>107</v>
      </c>
    </row>
    <row r="181" customFormat="false" ht="15" hidden="false" customHeight="false" outlineLevel="0" collapsed="false">
      <c r="A181" s="5" t="n">
        <v>46013</v>
      </c>
      <c r="B181" s="5" t="n">
        <v>46013</v>
      </c>
      <c r="C181" s="0" t="s">
        <v>520</v>
      </c>
      <c r="D181" s="0" t="s">
        <v>277</v>
      </c>
      <c r="E181" s="0" t="s">
        <v>61</v>
      </c>
      <c r="F181" s="6" t="n">
        <v>-119893.53</v>
      </c>
      <c r="G181" s="0" t="s">
        <v>237</v>
      </c>
      <c r="I181" s="0" t="s">
        <v>264</v>
      </c>
      <c r="J181" s="0" t="s">
        <v>306</v>
      </c>
      <c r="K181" s="0" t="s">
        <v>307</v>
      </c>
      <c r="N181" s="8" t="s">
        <v>269</v>
      </c>
      <c r="O181" s="0" t="s">
        <v>177</v>
      </c>
    </row>
    <row r="182" customFormat="false" ht="15" hidden="false" customHeight="false" outlineLevel="0" collapsed="false">
      <c r="A182" s="2" t="n">
        <v>46013</v>
      </c>
      <c r="B182" s="2" t="n">
        <v>46013</v>
      </c>
      <c r="C182" s="3" t="s">
        <v>328</v>
      </c>
      <c r="D182" s="3" t="s">
        <v>236</v>
      </c>
      <c r="E182" s="3" t="s">
        <v>52</v>
      </c>
      <c r="F182" s="4" t="n">
        <v>-74108.55</v>
      </c>
      <c r="G182" s="3" t="s">
        <v>237</v>
      </c>
      <c r="H182" s="3" t="s">
        <v>521</v>
      </c>
      <c r="I182" s="3" t="s">
        <v>239</v>
      </c>
      <c r="J182" s="3" t="s">
        <v>330</v>
      </c>
      <c r="K182" s="3" t="s">
        <v>23</v>
      </c>
      <c r="L182" s="3"/>
      <c r="M182" s="3"/>
      <c r="N182" s="3"/>
      <c r="O182" s="3" t="s">
        <v>177</v>
      </c>
    </row>
    <row r="183" customFormat="false" ht="15" hidden="false" customHeight="false" outlineLevel="0" collapsed="false">
      <c r="A183" s="5" t="n">
        <v>46013</v>
      </c>
      <c r="B183" s="5" t="n">
        <v>45983</v>
      </c>
      <c r="C183" s="0" t="s">
        <v>490</v>
      </c>
      <c r="D183" s="0" t="s">
        <v>242</v>
      </c>
      <c r="E183" s="0" t="s">
        <v>350</v>
      </c>
      <c r="F183" s="6" t="n">
        <v>-35419.65</v>
      </c>
      <c r="G183" s="0" t="s">
        <v>237</v>
      </c>
      <c r="H183" s="0" t="s">
        <v>522</v>
      </c>
      <c r="I183" s="0" t="s">
        <v>246</v>
      </c>
      <c r="J183" s="0" t="s">
        <v>322</v>
      </c>
      <c r="K183" s="0" t="s">
        <v>52</v>
      </c>
      <c r="L183" s="7" t="s">
        <v>268</v>
      </c>
      <c r="O183" s="0" t="s">
        <v>107</v>
      </c>
    </row>
    <row r="184" customFormat="false" ht="15" hidden="false" customHeight="false" outlineLevel="0" collapsed="false">
      <c r="A184" s="2" t="n">
        <v>46013</v>
      </c>
      <c r="B184" s="2" t="n">
        <v>46013</v>
      </c>
      <c r="C184" s="3" t="s">
        <v>335</v>
      </c>
      <c r="D184" s="3" t="s">
        <v>236</v>
      </c>
      <c r="E184" s="3" t="s">
        <v>49</v>
      </c>
      <c r="F184" s="4" t="n">
        <v>-168891.98</v>
      </c>
      <c r="G184" s="3" t="s">
        <v>237</v>
      </c>
      <c r="H184" s="3" t="s">
        <v>523</v>
      </c>
      <c r="I184" s="3" t="s">
        <v>252</v>
      </c>
      <c r="J184" s="3" t="s">
        <v>337</v>
      </c>
      <c r="K184" s="3" t="s">
        <v>272</v>
      </c>
      <c r="L184" s="3"/>
      <c r="M184" s="3"/>
      <c r="N184" s="3"/>
      <c r="O184" s="3" t="s">
        <v>177</v>
      </c>
    </row>
    <row r="185" customFormat="false" ht="15" hidden="false" customHeight="false" outlineLevel="0" collapsed="false">
      <c r="A185" s="5" t="n">
        <v>46013</v>
      </c>
      <c r="B185" s="5" t="n">
        <v>46013</v>
      </c>
      <c r="C185" s="0" t="s">
        <v>369</v>
      </c>
      <c r="D185" s="0" t="s">
        <v>242</v>
      </c>
      <c r="E185" s="0" t="s">
        <v>307</v>
      </c>
      <c r="F185" s="6" t="n">
        <v>-47181.1</v>
      </c>
      <c r="G185" s="0" t="s">
        <v>237</v>
      </c>
      <c r="H185" s="0" t="s">
        <v>524</v>
      </c>
      <c r="I185" s="0" t="s">
        <v>239</v>
      </c>
      <c r="J185" s="0" t="s">
        <v>334</v>
      </c>
      <c r="K185" s="0" t="s">
        <v>83</v>
      </c>
      <c r="O185" s="0" t="s">
        <v>177</v>
      </c>
    </row>
    <row r="186" customFormat="false" ht="15" hidden="false" customHeight="false" outlineLevel="0" collapsed="false">
      <c r="A186" s="2" t="n">
        <v>46014</v>
      </c>
      <c r="B186" s="2" t="n">
        <v>45984</v>
      </c>
      <c r="C186" s="3" t="s">
        <v>340</v>
      </c>
      <c r="D186" s="3" t="s">
        <v>242</v>
      </c>
      <c r="E186" s="3" t="s">
        <v>255</v>
      </c>
      <c r="F186" s="4" t="n">
        <v>149170.32</v>
      </c>
      <c r="G186" s="3" t="s">
        <v>244</v>
      </c>
      <c r="H186" s="3" t="s">
        <v>525</v>
      </c>
      <c r="I186" s="3" t="s">
        <v>246</v>
      </c>
      <c r="J186" s="3" t="s">
        <v>260</v>
      </c>
      <c r="K186" s="3" t="s">
        <v>255</v>
      </c>
      <c r="L186" s="3" t="s">
        <v>268</v>
      </c>
      <c r="M186" s="3"/>
      <c r="N186" s="3"/>
      <c r="O186" s="3" t="s">
        <v>107</v>
      </c>
    </row>
    <row r="187" customFormat="false" ht="15" hidden="false" customHeight="false" outlineLevel="0" collapsed="false">
      <c r="A187" s="5" t="n">
        <v>46014</v>
      </c>
      <c r="B187" s="5" t="n">
        <v>46014</v>
      </c>
      <c r="C187" s="0" t="s">
        <v>358</v>
      </c>
      <c r="D187" s="0" t="s">
        <v>242</v>
      </c>
      <c r="E187" s="0" t="s">
        <v>258</v>
      </c>
      <c r="F187" s="6" t="n">
        <v>320969.89</v>
      </c>
      <c r="G187" s="0" t="s">
        <v>244</v>
      </c>
      <c r="H187" s="0" t="s">
        <v>467</v>
      </c>
      <c r="I187" s="0" t="s">
        <v>264</v>
      </c>
      <c r="J187" s="0" t="s">
        <v>302</v>
      </c>
      <c r="K187" s="0" t="s">
        <v>258</v>
      </c>
      <c r="M187" s="8" t="s">
        <v>248</v>
      </c>
      <c r="O187" s="0" t="s">
        <v>177</v>
      </c>
    </row>
    <row r="188" customFormat="false" ht="15" hidden="false" customHeight="false" outlineLevel="0" collapsed="false">
      <c r="A188" s="2" t="n">
        <v>46016</v>
      </c>
      <c r="B188" s="2" t="n">
        <v>45956</v>
      </c>
      <c r="C188" s="3" t="s">
        <v>526</v>
      </c>
      <c r="D188" s="3" t="s">
        <v>292</v>
      </c>
      <c r="E188" s="3" t="s">
        <v>49</v>
      </c>
      <c r="F188" s="4" t="n">
        <v>-5176.01</v>
      </c>
      <c r="G188" s="3" t="s">
        <v>237</v>
      </c>
      <c r="H188" s="3" t="s">
        <v>527</v>
      </c>
      <c r="I188" s="3" t="s">
        <v>252</v>
      </c>
      <c r="J188" s="3" t="s">
        <v>352</v>
      </c>
      <c r="K188" s="3" t="s">
        <v>52</v>
      </c>
      <c r="L188" s="3" t="s">
        <v>268</v>
      </c>
      <c r="M188" s="3"/>
      <c r="N188" s="3"/>
      <c r="O188" s="3" t="s">
        <v>14</v>
      </c>
    </row>
    <row r="189" customFormat="false" ht="15" hidden="false" customHeight="false" outlineLevel="0" collapsed="false">
      <c r="A189" s="5" t="n">
        <v>46016</v>
      </c>
      <c r="B189" s="5" t="n">
        <v>46016</v>
      </c>
      <c r="C189" s="0" t="s">
        <v>317</v>
      </c>
      <c r="D189" s="0" t="s">
        <v>292</v>
      </c>
      <c r="E189" s="0" t="s">
        <v>25</v>
      </c>
      <c r="F189" s="6" t="n">
        <v>-37729.79</v>
      </c>
      <c r="G189" s="0" t="s">
        <v>237</v>
      </c>
      <c r="H189" s="0" t="s">
        <v>528</v>
      </c>
      <c r="I189" s="0" t="s">
        <v>264</v>
      </c>
      <c r="J189" s="0" t="s">
        <v>253</v>
      </c>
      <c r="K189" s="0" t="s">
        <v>52</v>
      </c>
      <c r="O189" s="0" t="s">
        <v>177</v>
      </c>
    </row>
    <row r="190" customFormat="false" ht="15" hidden="false" customHeight="false" outlineLevel="0" collapsed="false">
      <c r="A190" s="2" t="n">
        <v>46017</v>
      </c>
      <c r="B190" s="2" t="n">
        <v>46017</v>
      </c>
      <c r="C190" s="3" t="s">
        <v>360</v>
      </c>
      <c r="D190" s="3" t="s">
        <v>242</v>
      </c>
      <c r="E190" s="3" t="s">
        <v>243</v>
      </c>
      <c r="F190" s="4" t="n">
        <v>33118.19</v>
      </c>
      <c r="G190" s="3" t="s">
        <v>244</v>
      </c>
      <c r="H190" s="3" t="s">
        <v>470</v>
      </c>
      <c r="I190" s="3" t="s">
        <v>264</v>
      </c>
      <c r="J190" s="3" t="s">
        <v>310</v>
      </c>
      <c r="K190" s="3" t="s">
        <v>243</v>
      </c>
      <c r="L190" s="3"/>
      <c r="M190" s="3" t="s">
        <v>248</v>
      </c>
      <c r="N190" s="3"/>
      <c r="O190" s="3" t="s">
        <v>177</v>
      </c>
    </row>
    <row r="191" customFormat="false" ht="15" hidden="false" customHeight="false" outlineLevel="0" collapsed="false">
      <c r="A191" s="5" t="n">
        <v>46018</v>
      </c>
      <c r="B191" s="5" t="n">
        <v>45988</v>
      </c>
      <c r="C191" s="0" t="s">
        <v>392</v>
      </c>
      <c r="D191" s="0" t="s">
        <v>242</v>
      </c>
      <c r="E191" s="0" t="s">
        <v>243</v>
      </c>
      <c r="F191" s="6" t="n">
        <v>11289.54</v>
      </c>
      <c r="G191" s="0" t="s">
        <v>244</v>
      </c>
      <c r="H191" s="0" t="s">
        <v>529</v>
      </c>
      <c r="I191" s="0" t="s">
        <v>264</v>
      </c>
      <c r="J191" s="0" t="s">
        <v>373</v>
      </c>
      <c r="K191" s="0" t="s">
        <v>243</v>
      </c>
      <c r="L191" s="7" t="s">
        <v>268</v>
      </c>
      <c r="O191" s="0" t="s">
        <v>107</v>
      </c>
    </row>
    <row r="192" customFormat="false" ht="15" hidden="false" customHeight="false" outlineLevel="0" collapsed="false">
      <c r="A192" s="2" t="n">
        <v>46019</v>
      </c>
      <c r="B192" s="2" t="n">
        <v>46019</v>
      </c>
      <c r="C192" s="3" t="s">
        <v>530</v>
      </c>
      <c r="D192" s="3" t="s">
        <v>242</v>
      </c>
      <c r="E192" s="3" t="s">
        <v>43</v>
      </c>
      <c r="F192" s="4" t="n">
        <v>-143914.11</v>
      </c>
      <c r="G192" s="3" t="s">
        <v>237</v>
      </c>
      <c r="H192" s="3" t="s">
        <v>531</v>
      </c>
      <c r="I192" s="3" t="s">
        <v>252</v>
      </c>
      <c r="J192" s="3" t="s">
        <v>352</v>
      </c>
      <c r="K192" s="3" t="s">
        <v>52</v>
      </c>
      <c r="L192" s="3"/>
      <c r="M192" s="3"/>
      <c r="N192" s="3"/>
      <c r="O192" s="3" t="s">
        <v>177</v>
      </c>
    </row>
    <row r="193" customFormat="false" ht="15" hidden="false" customHeight="false" outlineLevel="0" collapsed="false">
      <c r="A193" s="5" t="n">
        <v>46019</v>
      </c>
      <c r="B193" s="5" t="n">
        <v>46019</v>
      </c>
      <c r="C193" s="0" t="s">
        <v>271</v>
      </c>
      <c r="D193" s="0" t="s">
        <v>292</v>
      </c>
      <c r="E193" s="0" t="s">
        <v>272</v>
      </c>
      <c r="F193" s="6" t="n">
        <v>-41912.41</v>
      </c>
      <c r="G193" s="0" t="s">
        <v>237</v>
      </c>
      <c r="I193" s="0" t="s">
        <v>264</v>
      </c>
      <c r="J193" s="0" t="s">
        <v>240</v>
      </c>
      <c r="K193" s="0" t="s">
        <v>19</v>
      </c>
      <c r="N193" s="8" t="s">
        <v>269</v>
      </c>
      <c r="O193" s="0" t="s">
        <v>177</v>
      </c>
    </row>
    <row r="194" customFormat="false" ht="15" hidden="false" customHeight="false" outlineLevel="0" collapsed="false">
      <c r="A194" s="2" t="n">
        <v>46020</v>
      </c>
      <c r="B194" s="2" t="n">
        <v>45990</v>
      </c>
      <c r="C194" s="3" t="s">
        <v>479</v>
      </c>
      <c r="D194" s="3" t="s">
        <v>323</v>
      </c>
      <c r="E194" s="3" t="s">
        <v>23</v>
      </c>
      <c r="F194" s="4" t="n">
        <v>-139951.06</v>
      </c>
      <c r="G194" s="3" t="s">
        <v>237</v>
      </c>
      <c r="H194" s="3" t="s">
        <v>532</v>
      </c>
      <c r="I194" s="3" t="s">
        <v>239</v>
      </c>
      <c r="J194" s="3" t="s">
        <v>240</v>
      </c>
      <c r="K194" s="3" t="s">
        <v>19</v>
      </c>
      <c r="L194" s="3" t="s">
        <v>268</v>
      </c>
      <c r="M194" s="3"/>
      <c r="N194" s="3"/>
      <c r="O194" s="3" t="s">
        <v>107</v>
      </c>
    </row>
    <row r="195" customFormat="false" ht="15" hidden="false" customHeight="false" outlineLevel="0" collapsed="false">
      <c r="A195" s="5" t="n">
        <v>46020</v>
      </c>
      <c r="B195" s="5" t="n">
        <v>45960</v>
      </c>
      <c r="C195" s="0" t="s">
        <v>387</v>
      </c>
      <c r="D195" s="0" t="s">
        <v>323</v>
      </c>
      <c r="E195" s="0" t="s">
        <v>258</v>
      </c>
      <c r="F195" s="6" t="n">
        <v>217295.15</v>
      </c>
      <c r="G195" s="0" t="s">
        <v>244</v>
      </c>
      <c r="H195" s="0" t="s">
        <v>384</v>
      </c>
      <c r="I195" s="0" t="s">
        <v>264</v>
      </c>
      <c r="J195" s="0" t="s">
        <v>343</v>
      </c>
      <c r="K195" s="0" t="s">
        <v>258</v>
      </c>
      <c r="L195" s="7" t="s">
        <v>268</v>
      </c>
      <c r="M195" s="8" t="s">
        <v>248</v>
      </c>
      <c r="O195" s="0" t="s">
        <v>14</v>
      </c>
    </row>
    <row r="196" customFormat="false" ht="15" hidden="false" customHeight="false" outlineLevel="0" collapsed="false">
      <c r="A196" s="2" t="n">
        <v>46020</v>
      </c>
      <c r="B196" s="2" t="n">
        <v>46020</v>
      </c>
      <c r="C196" s="3" t="s">
        <v>410</v>
      </c>
      <c r="D196" s="3" t="s">
        <v>242</v>
      </c>
      <c r="E196" s="3" t="s">
        <v>243</v>
      </c>
      <c r="F196" s="4" t="n">
        <v>62602.22</v>
      </c>
      <c r="G196" s="3" t="s">
        <v>244</v>
      </c>
      <c r="H196" s="3" t="s">
        <v>411</v>
      </c>
      <c r="I196" s="3" t="s">
        <v>239</v>
      </c>
      <c r="J196" s="3" t="s">
        <v>297</v>
      </c>
      <c r="K196" s="3" t="s">
        <v>243</v>
      </c>
      <c r="L196" s="3"/>
      <c r="M196" s="3"/>
      <c r="N196" s="3"/>
      <c r="O196" s="3" t="s">
        <v>177</v>
      </c>
    </row>
    <row r="197" customFormat="false" ht="15" hidden="false" customHeight="false" outlineLevel="0" collapsed="false">
      <c r="A197" s="5" t="n">
        <v>46020</v>
      </c>
      <c r="B197" s="5" t="n">
        <v>46020</v>
      </c>
      <c r="C197" s="0" t="s">
        <v>533</v>
      </c>
      <c r="D197" s="0" t="s">
        <v>250</v>
      </c>
      <c r="E197" s="0" t="s">
        <v>350</v>
      </c>
      <c r="F197" s="6" t="n">
        <v>-141119.82</v>
      </c>
      <c r="G197" s="0" t="s">
        <v>237</v>
      </c>
      <c r="H197" s="0" t="s">
        <v>534</v>
      </c>
      <c r="I197" s="0" t="s">
        <v>239</v>
      </c>
      <c r="J197" s="0" t="s">
        <v>330</v>
      </c>
      <c r="K197" s="0" t="s">
        <v>23</v>
      </c>
      <c r="O197" s="0" t="s">
        <v>177</v>
      </c>
    </row>
    <row r="198" customFormat="false" ht="15" hidden="false" customHeight="false" outlineLevel="0" collapsed="false">
      <c r="A198" s="2" t="n">
        <v>46021</v>
      </c>
      <c r="B198" s="2" t="n">
        <v>45991</v>
      </c>
      <c r="C198" s="3" t="s">
        <v>535</v>
      </c>
      <c r="D198" s="3" t="s">
        <v>304</v>
      </c>
      <c r="E198" s="3" t="s">
        <v>25</v>
      </c>
      <c r="F198" s="4" t="n">
        <v>-241566.82</v>
      </c>
      <c r="G198" s="3" t="s">
        <v>237</v>
      </c>
      <c r="H198" s="3"/>
      <c r="I198" s="3" t="s">
        <v>264</v>
      </c>
      <c r="J198" s="3" t="s">
        <v>275</v>
      </c>
      <c r="K198" s="3" t="s">
        <v>23</v>
      </c>
      <c r="L198" s="3" t="s">
        <v>268</v>
      </c>
      <c r="M198" s="3"/>
      <c r="N198" s="3" t="s">
        <v>269</v>
      </c>
      <c r="O198" s="3" t="s">
        <v>107</v>
      </c>
    </row>
    <row r="199" customFormat="false" ht="15" hidden="false" customHeight="false" outlineLevel="0" collapsed="false">
      <c r="A199" s="5" t="n">
        <v>46021</v>
      </c>
      <c r="B199" s="5" t="n">
        <v>46021</v>
      </c>
      <c r="C199" s="0" t="s">
        <v>295</v>
      </c>
      <c r="D199" s="0" t="s">
        <v>242</v>
      </c>
      <c r="E199" s="0" t="s">
        <v>262</v>
      </c>
      <c r="F199" s="6" t="n">
        <v>238613.07</v>
      </c>
      <c r="G199" s="0" t="s">
        <v>244</v>
      </c>
      <c r="H199" s="0" t="s">
        <v>519</v>
      </c>
      <c r="I199" s="0" t="s">
        <v>252</v>
      </c>
      <c r="J199" s="0" t="s">
        <v>297</v>
      </c>
      <c r="K199" s="0" t="s">
        <v>262</v>
      </c>
      <c r="M199" s="8" t="s">
        <v>248</v>
      </c>
      <c r="O199" s="0" t="s">
        <v>177</v>
      </c>
    </row>
    <row r="200" customFormat="false" ht="15" hidden="false" customHeight="false" outlineLevel="0" collapsed="false">
      <c r="A200" s="2" t="n">
        <v>46021</v>
      </c>
      <c r="B200" s="2" t="n">
        <v>45961</v>
      </c>
      <c r="C200" s="3" t="s">
        <v>479</v>
      </c>
      <c r="D200" s="3" t="s">
        <v>236</v>
      </c>
      <c r="E200" s="3" t="s">
        <v>23</v>
      </c>
      <c r="F200" s="4" t="n">
        <v>-218058.84</v>
      </c>
      <c r="G200" s="3" t="s">
        <v>237</v>
      </c>
      <c r="H200" s="3"/>
      <c r="I200" s="3" t="s">
        <v>264</v>
      </c>
      <c r="J200" s="3" t="s">
        <v>240</v>
      </c>
      <c r="K200" s="3" t="s">
        <v>19</v>
      </c>
      <c r="L200" s="3" t="s">
        <v>268</v>
      </c>
      <c r="M200" s="3"/>
      <c r="N200" s="3" t="s">
        <v>269</v>
      </c>
      <c r="O200" s="3" t="s">
        <v>14</v>
      </c>
    </row>
    <row r="201" customFormat="false" ht="15" hidden="false" customHeight="false" outlineLevel="0" collapsed="false">
      <c r="A201" s="5" t="n">
        <v>46022</v>
      </c>
      <c r="B201" s="5" t="n">
        <v>46022</v>
      </c>
      <c r="C201" s="0" t="s">
        <v>341</v>
      </c>
      <c r="D201" s="0" t="s">
        <v>242</v>
      </c>
      <c r="E201" s="0" t="s">
        <v>243</v>
      </c>
      <c r="F201" s="6" t="n">
        <v>159259.73</v>
      </c>
      <c r="G201" s="0" t="s">
        <v>244</v>
      </c>
      <c r="H201" s="0" t="s">
        <v>377</v>
      </c>
      <c r="I201" s="0" t="s">
        <v>264</v>
      </c>
      <c r="J201" s="0" t="s">
        <v>343</v>
      </c>
      <c r="K201" s="0" t="s">
        <v>243</v>
      </c>
      <c r="M201" s="8" t="s">
        <v>248</v>
      </c>
      <c r="O201" s="0" t="s">
        <v>177</v>
      </c>
    </row>
  </sheetData>
  <autoFilter ref="A1:O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8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9" t="s">
        <v>536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35.05" hidden="false" customHeight="false" outlineLevel="0" collapsed="false">
      <c r="A2" s="1" t="s">
        <v>537</v>
      </c>
      <c r="B2" s="1" t="s">
        <v>538</v>
      </c>
      <c r="C2" s="1" t="s">
        <v>539</v>
      </c>
      <c r="D2" s="1" t="s">
        <v>540</v>
      </c>
      <c r="E2" s="1" t="s">
        <v>541</v>
      </c>
      <c r="F2" s="1" t="s">
        <v>542</v>
      </c>
      <c r="G2" s="1" t="s">
        <v>543</v>
      </c>
      <c r="H2" s="1" t="s">
        <v>544</v>
      </c>
      <c r="I2" s="1" t="s">
        <v>545</v>
      </c>
      <c r="J2" s="1" t="s">
        <v>546</v>
      </c>
    </row>
    <row r="3" customFormat="false" ht="15" hidden="false" customHeight="false" outlineLevel="0" collapsed="false">
      <c r="A3" s="0" t="s">
        <v>260</v>
      </c>
      <c r="B3" s="0" t="s">
        <v>547</v>
      </c>
      <c r="C3" s="6" t="n">
        <v>45000</v>
      </c>
      <c r="D3" s="6" t="n">
        <v>45000</v>
      </c>
      <c r="E3" s="6" t="n">
        <v>45000</v>
      </c>
      <c r="F3" s="6" t="n">
        <v>45000</v>
      </c>
      <c r="G3" s="0" t="s">
        <v>548</v>
      </c>
      <c r="H3" s="0" t="s">
        <v>252</v>
      </c>
      <c r="I3" s="0" t="s">
        <v>252</v>
      </c>
      <c r="J3" s="0" t="s">
        <v>252</v>
      </c>
    </row>
    <row r="4" customFormat="false" ht="15" hidden="false" customHeight="false" outlineLevel="0" collapsed="false">
      <c r="A4" s="3" t="s">
        <v>265</v>
      </c>
      <c r="B4" s="3" t="s">
        <v>547</v>
      </c>
      <c r="C4" s="4" t="n">
        <v>38000</v>
      </c>
      <c r="D4" s="4" t="n">
        <v>38000</v>
      </c>
      <c r="E4" s="4" t="n">
        <v>38000</v>
      </c>
      <c r="F4" s="4" t="n">
        <v>0</v>
      </c>
      <c r="G4" s="3" t="s">
        <v>549</v>
      </c>
      <c r="H4" s="3" t="s">
        <v>550</v>
      </c>
      <c r="I4" s="3" t="s">
        <v>551</v>
      </c>
      <c r="J4" s="3" t="s">
        <v>552</v>
      </c>
    </row>
    <row r="5" customFormat="false" ht="15" hidden="false" customHeight="false" outlineLevel="0" collapsed="false">
      <c r="A5" s="0" t="s">
        <v>310</v>
      </c>
      <c r="B5" s="0" t="s">
        <v>553</v>
      </c>
      <c r="C5" s="6" t="n">
        <v>22000</v>
      </c>
      <c r="D5" s="6" t="n">
        <v>22000</v>
      </c>
      <c r="E5" s="6" t="n">
        <v>22000</v>
      </c>
      <c r="F5" s="6" t="n">
        <v>22000</v>
      </c>
      <c r="G5" s="0" t="s">
        <v>548</v>
      </c>
      <c r="H5" s="0" t="s">
        <v>550</v>
      </c>
      <c r="I5" s="0" t="s">
        <v>252</v>
      </c>
      <c r="J5" s="0" t="s">
        <v>551</v>
      </c>
    </row>
    <row r="6" customFormat="false" ht="15" hidden="false" customHeight="false" outlineLevel="0" collapsed="false">
      <c r="A6" s="3" t="s">
        <v>302</v>
      </c>
      <c r="B6" s="3" t="s">
        <v>553</v>
      </c>
      <c r="C6" s="4" t="n">
        <v>18000</v>
      </c>
      <c r="D6" s="4" t="n">
        <v>18000</v>
      </c>
      <c r="E6" s="4" t="n">
        <v>15000</v>
      </c>
      <c r="F6" s="4" t="n">
        <v>15000</v>
      </c>
      <c r="G6" s="3" t="s">
        <v>554</v>
      </c>
      <c r="H6" s="3" t="s">
        <v>550</v>
      </c>
      <c r="I6" s="3" t="s">
        <v>550</v>
      </c>
      <c r="J6" s="3" t="s">
        <v>252</v>
      </c>
    </row>
    <row r="7" customFormat="false" ht="15" hidden="false" customHeight="false" outlineLevel="0" collapsed="false">
      <c r="A7" s="0" t="s">
        <v>327</v>
      </c>
      <c r="B7" s="0" t="s">
        <v>547</v>
      </c>
      <c r="C7" s="6" t="n">
        <v>55000</v>
      </c>
      <c r="D7" s="6" t="n">
        <v>55000</v>
      </c>
      <c r="E7" s="6" t="n">
        <v>55000</v>
      </c>
      <c r="F7" s="6" t="n">
        <v>55000</v>
      </c>
      <c r="G7" s="0" t="s">
        <v>548</v>
      </c>
      <c r="H7" s="0" t="s">
        <v>550</v>
      </c>
      <c r="I7" s="0" t="s">
        <v>550</v>
      </c>
      <c r="J7" s="0" t="s">
        <v>550</v>
      </c>
    </row>
    <row r="8" customFormat="false" ht="15" hidden="false" customHeight="false" outlineLevel="0" collapsed="false">
      <c r="A8" s="3" t="s">
        <v>297</v>
      </c>
      <c r="B8" s="3" t="s">
        <v>553</v>
      </c>
      <c r="C8" s="4" t="n">
        <v>28000</v>
      </c>
      <c r="D8" s="4" t="n">
        <v>28000</v>
      </c>
      <c r="E8" s="4" t="n">
        <v>28000</v>
      </c>
      <c r="F8" s="4" t="n">
        <v>28000</v>
      </c>
      <c r="G8" s="3" t="s">
        <v>555</v>
      </c>
      <c r="H8" s="3" t="s">
        <v>550</v>
      </c>
      <c r="I8" s="3" t="s">
        <v>550</v>
      </c>
      <c r="J8" s="3" t="s">
        <v>550</v>
      </c>
    </row>
    <row r="9" customFormat="false" ht="15" hidden="false" customHeight="false" outlineLevel="0" collapsed="false">
      <c r="A9" s="0" t="s">
        <v>373</v>
      </c>
      <c r="B9" s="0" t="s">
        <v>556</v>
      </c>
      <c r="C9" s="6" t="n">
        <v>8000</v>
      </c>
      <c r="D9" s="6" t="n">
        <v>8000</v>
      </c>
      <c r="E9" s="6" t="n">
        <v>8000</v>
      </c>
      <c r="F9" s="6" t="n">
        <v>8000</v>
      </c>
      <c r="G9" s="0" t="s">
        <v>548</v>
      </c>
      <c r="H9" s="0" t="s">
        <v>550</v>
      </c>
      <c r="I9" s="0" t="s">
        <v>550</v>
      </c>
      <c r="J9" s="0" t="s">
        <v>550</v>
      </c>
    </row>
    <row r="10" customFormat="false" ht="15" hidden="false" customHeight="false" outlineLevel="0" collapsed="false">
      <c r="A10" s="3" t="s">
        <v>343</v>
      </c>
      <c r="B10" s="3" t="s">
        <v>553</v>
      </c>
      <c r="C10" s="4" t="n">
        <v>15000</v>
      </c>
      <c r="D10" s="4" t="n">
        <v>15000</v>
      </c>
      <c r="E10" s="4" t="n">
        <v>15000</v>
      </c>
      <c r="F10" s="4" t="n">
        <v>15000</v>
      </c>
      <c r="G10" s="3" t="s">
        <v>548</v>
      </c>
      <c r="H10" s="3" t="s">
        <v>550</v>
      </c>
      <c r="I10" s="3" t="s">
        <v>252</v>
      </c>
      <c r="J10" s="3" t="s">
        <v>550</v>
      </c>
    </row>
    <row r="11" customFormat="false" ht="15" hidden="false" customHeight="false" outlineLevel="0" collapsed="false">
      <c r="A11" s="0" t="s">
        <v>247</v>
      </c>
      <c r="B11" s="0" t="s">
        <v>547</v>
      </c>
      <c r="C11" s="6" t="n">
        <v>42000</v>
      </c>
      <c r="D11" s="6" t="n">
        <v>42000</v>
      </c>
      <c r="E11" s="6" t="n">
        <v>42000</v>
      </c>
      <c r="F11" s="6" t="n">
        <v>42000</v>
      </c>
      <c r="G11" s="0" t="s">
        <v>548</v>
      </c>
      <c r="H11" s="0" t="s">
        <v>550</v>
      </c>
      <c r="I11" s="0" t="s">
        <v>551</v>
      </c>
      <c r="J11" s="0" t="s">
        <v>550</v>
      </c>
    </row>
    <row r="12" customFormat="false" ht="15" hidden="false" customHeight="false" outlineLevel="0" collapsed="false">
      <c r="A12" s="3" t="s">
        <v>557</v>
      </c>
      <c r="B12" s="3" t="s">
        <v>556</v>
      </c>
      <c r="C12" s="4" t="n">
        <v>9500</v>
      </c>
      <c r="D12" s="4" t="n">
        <v>9500</v>
      </c>
      <c r="E12" s="4" t="n">
        <v>9500</v>
      </c>
      <c r="F12" s="4" t="n">
        <v>9500</v>
      </c>
      <c r="G12" s="3" t="s">
        <v>555</v>
      </c>
      <c r="H12" s="3" t="s">
        <v>550</v>
      </c>
      <c r="I12" s="3" t="s">
        <v>551</v>
      </c>
      <c r="J12" s="3" t="s">
        <v>551</v>
      </c>
    </row>
    <row r="13" customFormat="false" ht="15" hidden="false" customHeight="false" outlineLevel="0" collapsed="false">
      <c r="A13" s="0" t="s">
        <v>558</v>
      </c>
      <c r="B13" s="0" t="s">
        <v>553</v>
      </c>
      <c r="C13" s="6" t="n">
        <v>19000</v>
      </c>
      <c r="D13" s="6" t="n">
        <v>0</v>
      </c>
      <c r="E13" s="6" t="n">
        <v>19000</v>
      </c>
      <c r="F13" s="6" t="n">
        <v>19000</v>
      </c>
      <c r="G13" s="0" t="s">
        <v>548</v>
      </c>
      <c r="H13" s="0" t="s">
        <v>252</v>
      </c>
      <c r="I13" s="0" t="s">
        <v>550</v>
      </c>
      <c r="J13" s="0" t="s">
        <v>252</v>
      </c>
    </row>
    <row r="14" customFormat="false" ht="15" hidden="false" customHeight="false" outlineLevel="0" collapsed="false">
      <c r="A14" s="3" t="s">
        <v>559</v>
      </c>
      <c r="B14" s="3" t="s">
        <v>547</v>
      </c>
      <c r="C14" s="4" t="n">
        <v>60000</v>
      </c>
      <c r="D14" s="4" t="n">
        <v>60000</v>
      </c>
      <c r="E14" s="4" t="n">
        <v>60000</v>
      </c>
      <c r="F14" s="4" t="n">
        <v>60000</v>
      </c>
      <c r="G14" s="3" t="s">
        <v>548</v>
      </c>
      <c r="H14" s="3" t="s">
        <v>550</v>
      </c>
      <c r="I14" s="3" t="s">
        <v>551</v>
      </c>
      <c r="J14" s="3" t="s">
        <v>252</v>
      </c>
    </row>
    <row r="15" customFormat="false" ht="15" hidden="false" customHeight="false" outlineLevel="0" collapsed="false">
      <c r="A15" s="0" t="s">
        <v>560</v>
      </c>
      <c r="B15" s="0" t="s">
        <v>553</v>
      </c>
      <c r="C15" s="6" t="n">
        <v>25000</v>
      </c>
      <c r="D15" s="6" t="n">
        <v>25000</v>
      </c>
      <c r="E15" s="6" t="n">
        <v>25000</v>
      </c>
      <c r="F15" s="6" t="n">
        <v>25000</v>
      </c>
      <c r="G15" s="0" t="s">
        <v>548</v>
      </c>
      <c r="H15" s="0" t="s">
        <v>550</v>
      </c>
      <c r="I15" s="0" t="s">
        <v>550</v>
      </c>
      <c r="J15" s="0" t="s">
        <v>550</v>
      </c>
    </row>
    <row r="16" customFormat="false" ht="15" hidden="false" customHeight="false" outlineLevel="0" collapsed="false">
      <c r="A16" s="3" t="s">
        <v>561</v>
      </c>
      <c r="B16" s="3" t="s">
        <v>556</v>
      </c>
      <c r="C16" s="4" t="n">
        <v>7500</v>
      </c>
      <c r="D16" s="4" t="n">
        <v>7500</v>
      </c>
      <c r="E16" s="4" t="n">
        <v>7500</v>
      </c>
      <c r="F16" s="4" t="n">
        <v>7500</v>
      </c>
      <c r="G16" s="3" t="s">
        <v>554</v>
      </c>
      <c r="H16" s="3" t="s">
        <v>550</v>
      </c>
      <c r="I16" s="3" t="s">
        <v>550</v>
      </c>
      <c r="J16" s="3" t="s">
        <v>550</v>
      </c>
    </row>
    <row r="17" customFormat="false" ht="15" hidden="false" customHeight="false" outlineLevel="0" collapsed="false">
      <c r="A17" s="0" t="s">
        <v>562</v>
      </c>
      <c r="B17" s="0" t="s">
        <v>547</v>
      </c>
      <c r="C17" s="6" t="n">
        <v>50000</v>
      </c>
      <c r="D17" s="6" t="n">
        <v>50000</v>
      </c>
      <c r="E17" s="6" t="n">
        <v>50000</v>
      </c>
      <c r="F17" s="6" t="n">
        <v>50000</v>
      </c>
      <c r="G17" s="0" t="s">
        <v>548</v>
      </c>
      <c r="H17" s="0" t="s">
        <v>252</v>
      </c>
      <c r="I17" s="0" t="s">
        <v>551</v>
      </c>
      <c r="J17" s="0" t="s">
        <v>551</v>
      </c>
    </row>
    <row r="18" customFormat="false" ht="15" hidden="false" customHeight="false" outlineLevel="0" collapsed="false">
      <c r="A18" s="3" t="s">
        <v>563</v>
      </c>
      <c r="B18" s="3"/>
      <c r="C18" s="4" t="n">
        <v>442000</v>
      </c>
      <c r="D18" s="4" t="n">
        <v>423000</v>
      </c>
      <c r="E18" s="4" t="n">
        <v>439000</v>
      </c>
      <c r="F18" s="4" t="n">
        <v>401000</v>
      </c>
      <c r="G18" s="3"/>
      <c r="H18" s="3"/>
      <c r="I18" s="3"/>
      <c r="J18" s="3"/>
    </row>
    <row r="19" customFormat="false" ht="15" hidden="false" customHeight="false" outlineLevel="0" collapsed="false">
      <c r="A19" s="10" t="s">
        <v>563</v>
      </c>
      <c r="C19" s="11" t="n">
        <f aca="false">SUM(C3:C18)</f>
        <v>884000</v>
      </c>
      <c r="D19" s="11" t="n">
        <f aca="false">SUM(D3:D18)</f>
        <v>846000</v>
      </c>
      <c r="E19" s="11" t="n">
        <f aca="false">SUM(E3:E18)</f>
        <v>878000</v>
      </c>
      <c r="F19" s="11" t="n">
        <f aca="false">SUM(F3:F18)</f>
        <v>802000</v>
      </c>
    </row>
    <row r="22" customFormat="false" ht="15" hidden="false" customHeight="false" outlineLevel="0" collapsed="false">
      <c r="A22" s="9" t="s">
        <v>564</v>
      </c>
      <c r="B22" s="9"/>
      <c r="C22" s="9"/>
      <c r="D22" s="9"/>
      <c r="E22" s="9"/>
      <c r="F22" s="9"/>
    </row>
    <row r="23" customFormat="false" ht="15" hidden="false" customHeight="false" outlineLevel="0" collapsed="false">
      <c r="A23" s="1" t="s">
        <v>537</v>
      </c>
      <c r="B23" s="1" t="s">
        <v>565</v>
      </c>
      <c r="C23" s="1" t="s">
        <v>566</v>
      </c>
      <c r="D23" s="1" t="s">
        <v>567</v>
      </c>
      <c r="E23" s="1" t="s">
        <v>568</v>
      </c>
      <c r="F23" s="1" t="s">
        <v>569</v>
      </c>
    </row>
    <row r="24" customFormat="false" ht="15" hidden="false" customHeight="false" outlineLevel="0" collapsed="false">
      <c r="A24" s="3" t="s">
        <v>260</v>
      </c>
      <c r="B24" s="4" t="n">
        <v>135000</v>
      </c>
      <c r="C24" s="4" t="n">
        <f aca="false">SUMIFS(ERP_Limpo!F:F,ERP_Limpo!G:G,"Receita",ERP_Limpo!J:J,"Alpha Tech")</f>
        <v>1172889.17</v>
      </c>
      <c r="D24" s="4" t="n">
        <f aca="false">SUMIFS(Extrato_Limpo!D:D,Extrato_Limpo!G:G,"Receita de Cliente",Extrato_Limpo!B:B,"*ALPHA TECH*")</f>
        <v>2040122.59</v>
      </c>
      <c r="E24" s="4" t="n">
        <f aca="false">C24-D24</f>
        <v>-867233.42</v>
      </c>
      <c r="F24" s="3"/>
    </row>
    <row r="25" customFormat="false" ht="15" hidden="false" customHeight="false" outlineLevel="0" collapsed="false">
      <c r="A25" s="0" t="s">
        <v>265</v>
      </c>
      <c r="B25" s="6" t="n">
        <v>76000</v>
      </c>
      <c r="C25" s="6" t="n">
        <f aca="false">SUMIFS(ERP_Limpo!F:F,ERP_Limpo!G:G,"Receita",ERP_Limpo!J:J,"Beta SaaS")</f>
        <v>1039795.83</v>
      </c>
      <c r="D25" s="6" t="n">
        <f aca="false">SUMIFS(Extrato_Limpo!D:D,Extrato_Limpo!G:G,"Receita de Cliente",Extrato_Limpo!B:B,"*BETA SAAS*")</f>
        <v>1261517.68</v>
      </c>
      <c r="E25" s="6" t="n">
        <f aca="false">C25-D25</f>
        <v>-221721.85</v>
      </c>
    </row>
    <row r="26" customFormat="false" ht="15" hidden="false" customHeight="false" outlineLevel="0" collapsed="false">
      <c r="A26" s="3" t="s">
        <v>310</v>
      </c>
      <c r="B26" s="4" t="n">
        <v>66000</v>
      </c>
      <c r="C26" s="4" t="n">
        <f aca="false">SUMIFS(ERP_Limpo!F:F,ERP_Limpo!G:G,"Receita",ERP_Limpo!J:J,"Gamma Digital")</f>
        <v>433638.01</v>
      </c>
      <c r="D26" s="4" t="n">
        <f aca="false">SUMIFS(Extrato_Limpo!D:D,Extrato_Limpo!G:G,"Receita de Cliente",Extrato_Limpo!B:B,"*GAMMA DIGITAL*")</f>
        <v>321814.66</v>
      </c>
      <c r="E26" s="4" t="n">
        <f aca="false">C26-D26</f>
        <v>111823.35</v>
      </c>
      <c r="F26" s="3"/>
    </row>
    <row r="27" customFormat="false" ht="15" hidden="false" customHeight="false" outlineLevel="0" collapsed="false">
      <c r="A27" s="0" t="s">
        <v>302</v>
      </c>
      <c r="B27" s="6" t="n">
        <v>48000</v>
      </c>
      <c r="C27" s="6" t="n">
        <f aca="false">SUMIFS(ERP_Limpo!F:F,ERP_Limpo!G:G,"Receita",ERP_Limpo!J:J,"Delta Cloud")</f>
        <v>1795333.92</v>
      </c>
      <c r="D27" s="6" t="n">
        <f aca="false">SUMIFS(Extrato_Limpo!D:D,Extrato_Limpo!G:G,"Receita de Cliente",Extrato_Limpo!B:B,"*DELTA CLOUD*")</f>
        <v>787246.79</v>
      </c>
      <c r="E27" s="6" t="n">
        <f aca="false">C27-D27</f>
        <v>1008087.13</v>
      </c>
    </row>
    <row r="28" customFormat="false" ht="15" hidden="false" customHeight="false" outlineLevel="0" collapsed="false">
      <c r="A28" s="3" t="s">
        <v>327</v>
      </c>
      <c r="B28" s="4" t="n">
        <v>165000</v>
      </c>
      <c r="C28" s="4" t="n">
        <f aca="false">SUMIFS(ERP_Limpo!F:F,ERP_Limpo!G:G,"Receita",ERP_Limpo!J:J,"Epsilon Data")</f>
        <v>1448477.68</v>
      </c>
      <c r="D28" s="4" t="n">
        <f aca="false">SUMIFS(Extrato_Limpo!D:D,Extrato_Limpo!G:G,"Receita de Cliente",Extrato_Limpo!B:B,"*EPSILON DATA*")</f>
        <v>1249542.41</v>
      </c>
      <c r="E28" s="4" t="n">
        <f aca="false">C28-D28</f>
        <v>198935.27</v>
      </c>
      <c r="F28" s="3"/>
    </row>
    <row r="29" customFormat="false" ht="15" hidden="false" customHeight="false" outlineLevel="0" collapsed="false">
      <c r="A29" s="0" t="s">
        <v>297</v>
      </c>
      <c r="B29" s="6" t="n">
        <v>84000</v>
      </c>
      <c r="C29" s="6" t="n">
        <f aca="false">SUMIFS(ERP_Limpo!F:F,ERP_Limpo!G:G,"Receita",ERP_Limpo!J:J,"Zeta AI")</f>
        <v>1175077.85</v>
      </c>
      <c r="D29" s="6" t="n">
        <f aca="false">SUMIFS(Extrato_Limpo!D:D,Extrato_Limpo!G:G,"Receita de Cliente",Extrato_Limpo!B:B,"*ZETA AI*")</f>
        <v>767954.55</v>
      </c>
      <c r="E29" s="6" t="n">
        <f aca="false">C29-D29</f>
        <v>407123.3</v>
      </c>
    </row>
    <row r="30" customFormat="false" ht="15" hidden="false" customHeight="false" outlineLevel="0" collapsed="false">
      <c r="A30" s="3" t="s">
        <v>373</v>
      </c>
      <c r="B30" s="4" t="n">
        <v>24000</v>
      </c>
      <c r="C30" s="4" t="n">
        <f aca="false">SUMIFS(ERP_Limpo!F:F,ERP_Limpo!G:G,"Receita",ERP_Limpo!J:J,"Theta Labs")</f>
        <v>2093472.38</v>
      </c>
      <c r="D30" s="4" t="n">
        <f aca="false">SUMIFS(Extrato_Limpo!D:D,Extrato_Limpo!G:G,"Receita de Cliente",Extrato_Limpo!B:B,"*THETA LABS*")</f>
        <v>810227.85</v>
      </c>
      <c r="E30" s="4" t="n">
        <f aca="false">C30-D30</f>
        <v>1283244.53</v>
      </c>
      <c r="F30" s="3"/>
    </row>
    <row r="31" customFormat="false" ht="15" hidden="false" customHeight="false" outlineLevel="0" collapsed="false">
      <c r="A31" s="0" t="s">
        <v>343</v>
      </c>
      <c r="B31" s="6" t="n">
        <v>45000</v>
      </c>
      <c r="C31" s="6" t="n">
        <f aca="false">SUMIFS(ERP_Limpo!F:F,ERP_Limpo!G:G,"Receita",ERP_Limpo!J:J,"Iota Systems")</f>
        <v>1440103.43</v>
      </c>
      <c r="D31" s="6" t="n">
        <f aca="false">SUMIFS(Extrato_Limpo!D:D,Extrato_Limpo!G:G,"Receita de Cliente",Extrato_Limpo!B:B,"*IOTA SYSTEMS*")</f>
        <v>954824.86</v>
      </c>
      <c r="E31" s="6" t="n">
        <f aca="false">C31-D31</f>
        <v>485278.57</v>
      </c>
    </row>
    <row r="32" customFormat="false" ht="15" hidden="false" customHeight="false" outlineLevel="0" collapsed="false">
      <c r="A32" s="3" t="s">
        <v>247</v>
      </c>
      <c r="B32" s="4" t="n">
        <v>126000</v>
      </c>
      <c r="C32" s="4" t="n">
        <f aca="false">SUMIFS(ERP_Limpo!F:F,ERP_Limpo!G:G,"Receita",ERP_Limpo!J:J,"Kappa Pay")</f>
        <v>909500.53</v>
      </c>
      <c r="D32" s="4" t="n">
        <f aca="false">SUMIFS(Extrato_Limpo!D:D,Extrato_Limpo!G:G,"Receita de Cliente",Extrato_Limpo!B:B,"*KAPPA PAY*")</f>
        <v>1596633.34</v>
      </c>
      <c r="E32" s="4" t="n">
        <f aca="false">C32-D32</f>
        <v>-687132.81</v>
      </c>
      <c r="F32" s="3"/>
    </row>
    <row r="33" customFormat="false" ht="15" hidden="false" customHeight="false" outlineLevel="0" collapsed="false">
      <c r="A33" s="0" t="s">
        <v>557</v>
      </c>
      <c r="B33" s="6" t="n">
        <v>28500</v>
      </c>
      <c r="C33" s="6" t="n">
        <f aca="false">SUMIFS(ERP_Limpo!F:F,ERP_Limpo!G:G,"Receita",ERP_Limpo!J:J,"Lambda Fin")</f>
        <v>0</v>
      </c>
      <c r="D33" s="6" t="n">
        <v>0</v>
      </c>
      <c r="E33" s="6" t="n">
        <f aca="false">C33-D33</f>
        <v>0</v>
      </c>
      <c r="F33" s="7" t="s">
        <v>570</v>
      </c>
    </row>
    <row r="34" customFormat="false" ht="15" hidden="false" customHeight="false" outlineLevel="0" collapsed="false">
      <c r="A34" s="3" t="s">
        <v>558</v>
      </c>
      <c r="B34" s="4" t="n">
        <v>38000</v>
      </c>
      <c r="C34" s="4" t="n">
        <f aca="false">SUMIFS(ERP_Limpo!F:F,ERP_Limpo!G:G,"Receita",ERP_Limpo!J:J,"Mu Analytics")</f>
        <v>0</v>
      </c>
      <c r="D34" s="4" t="n">
        <v>0</v>
      </c>
      <c r="E34" s="4" t="n">
        <f aca="false">C34-D34</f>
        <v>0</v>
      </c>
      <c r="F34" s="3" t="s">
        <v>570</v>
      </c>
    </row>
    <row r="35" customFormat="false" ht="15" hidden="false" customHeight="false" outlineLevel="0" collapsed="false">
      <c r="A35" s="0" t="s">
        <v>559</v>
      </c>
      <c r="B35" s="6" t="n">
        <v>180000</v>
      </c>
      <c r="C35" s="6" t="n">
        <f aca="false">SUMIFS(ERP_Limpo!F:F,ERP_Limpo!G:G,"Receita",ERP_Limpo!J:J,"Nu Robotics")</f>
        <v>0</v>
      </c>
      <c r="D35" s="6" t="n">
        <v>0</v>
      </c>
      <c r="E35" s="6" t="n">
        <f aca="false">C35-D35</f>
        <v>0</v>
      </c>
      <c r="F35" s="7" t="s">
        <v>570</v>
      </c>
    </row>
    <row r="36" customFormat="false" ht="15" hidden="false" customHeight="false" outlineLevel="0" collapsed="false">
      <c r="A36" s="3" t="s">
        <v>560</v>
      </c>
      <c r="B36" s="4" t="n">
        <v>75000</v>
      </c>
      <c r="C36" s="4" t="n">
        <f aca="false">SUMIFS(ERP_Limpo!F:F,ERP_Limpo!G:G,"Receita",ERP_Limpo!J:J,"Omicron Health")</f>
        <v>0</v>
      </c>
      <c r="D36" s="4" t="n">
        <v>0</v>
      </c>
      <c r="E36" s="4" t="n">
        <f aca="false">C36-D36</f>
        <v>0</v>
      </c>
      <c r="F36" s="3" t="s">
        <v>570</v>
      </c>
    </row>
    <row r="37" customFormat="false" ht="15" hidden="false" customHeight="false" outlineLevel="0" collapsed="false">
      <c r="A37" s="0" t="s">
        <v>561</v>
      </c>
      <c r="B37" s="6" t="n">
        <v>22500</v>
      </c>
      <c r="C37" s="6" t="n">
        <f aca="false">SUMIFS(ERP_Limpo!F:F,ERP_Limpo!G:G,"Receita",ERP_Limpo!J:J,"Pi Logistics")</f>
        <v>0</v>
      </c>
      <c r="D37" s="6" t="n">
        <v>0</v>
      </c>
      <c r="E37" s="6" t="n">
        <f aca="false">C37-D37</f>
        <v>0</v>
      </c>
      <c r="F37" s="7" t="s">
        <v>570</v>
      </c>
    </row>
    <row r="38" customFormat="false" ht="15" hidden="false" customHeight="false" outlineLevel="0" collapsed="false">
      <c r="A38" s="3" t="s">
        <v>562</v>
      </c>
      <c r="B38" s="4" t="n">
        <v>150000</v>
      </c>
      <c r="C38" s="4" t="n">
        <f aca="false">SUMIFS(ERP_Limpo!F:F,ERP_Limpo!G:G,"Receita",ERP_Limpo!J:J,"Rho Security")</f>
        <v>0</v>
      </c>
      <c r="D38" s="4" t="n">
        <v>0</v>
      </c>
      <c r="E38" s="4" t="n">
        <f aca="false">C38-D38</f>
        <v>0</v>
      </c>
      <c r="F38" s="3" t="s">
        <v>570</v>
      </c>
    </row>
    <row r="39" customFormat="false" ht="15" hidden="false" customHeight="false" outlineLevel="0" collapsed="false">
      <c r="A39" s="10" t="s">
        <v>563</v>
      </c>
      <c r="B39" s="11" t="n">
        <f aca="false">SUM(B24:B38)</f>
        <v>1263000</v>
      </c>
      <c r="C39" s="11" t="n">
        <f aca="false">SUM(C24:C38)</f>
        <v>11508288.8</v>
      </c>
      <c r="D39" s="11" t="n">
        <f aca="false">SUM(D24:D38)</f>
        <v>9789884.73</v>
      </c>
    </row>
    <row r="42" customFormat="false" ht="15" hidden="false" customHeight="false" outlineLevel="0" collapsed="false">
      <c r="A42" s="12" t="s">
        <v>571</v>
      </c>
      <c r="B42" s="12"/>
      <c r="C42" s="12"/>
      <c r="D42" s="12"/>
    </row>
    <row r="43" customFormat="false" ht="15" hidden="false" customHeight="false" outlineLevel="0" collapsed="false">
      <c r="A43" s="10" t="s">
        <v>537</v>
      </c>
      <c r="B43" s="10" t="s">
        <v>572</v>
      </c>
      <c r="C43" s="10" t="s">
        <v>573</v>
      </c>
      <c r="D43" s="10" t="s">
        <v>574</v>
      </c>
    </row>
    <row r="44" customFormat="false" ht="15" hidden="false" customHeight="false" outlineLevel="0" collapsed="false">
      <c r="A44" s="7" t="s">
        <v>557</v>
      </c>
      <c r="B44" s="13" t="n">
        <v>28500</v>
      </c>
      <c r="C44" s="7" t="s">
        <v>555</v>
      </c>
      <c r="D44" s="7" t="s">
        <v>575</v>
      </c>
    </row>
    <row r="45" customFormat="false" ht="15" hidden="false" customHeight="false" outlineLevel="0" collapsed="false">
      <c r="A45" s="7" t="s">
        <v>558</v>
      </c>
      <c r="B45" s="13" t="n">
        <v>38000</v>
      </c>
      <c r="C45" s="7" t="s">
        <v>548</v>
      </c>
      <c r="D45" s="7" t="s">
        <v>575</v>
      </c>
    </row>
    <row r="46" customFormat="false" ht="15" hidden="false" customHeight="false" outlineLevel="0" collapsed="false">
      <c r="A46" s="7" t="s">
        <v>559</v>
      </c>
      <c r="B46" s="13" t="n">
        <v>180000</v>
      </c>
      <c r="C46" s="7" t="s">
        <v>548</v>
      </c>
      <c r="D46" s="7" t="s">
        <v>575</v>
      </c>
    </row>
    <row r="47" customFormat="false" ht="15" hidden="false" customHeight="false" outlineLevel="0" collapsed="false">
      <c r="A47" s="7" t="s">
        <v>560</v>
      </c>
      <c r="B47" s="13" t="n">
        <v>75000</v>
      </c>
      <c r="C47" s="7" t="s">
        <v>548</v>
      </c>
      <c r="D47" s="7" t="s">
        <v>575</v>
      </c>
    </row>
    <row r="48" customFormat="false" ht="15" hidden="false" customHeight="false" outlineLevel="0" collapsed="false">
      <c r="A48" s="7" t="s">
        <v>561</v>
      </c>
      <c r="B48" s="13" t="n">
        <v>22500</v>
      </c>
      <c r="C48" s="7" t="s">
        <v>554</v>
      </c>
      <c r="D48" s="7" t="s">
        <v>575</v>
      </c>
    </row>
    <row r="49" customFormat="false" ht="15" hidden="false" customHeight="false" outlineLevel="0" collapsed="false">
      <c r="A49" s="7" t="s">
        <v>562</v>
      </c>
      <c r="B49" s="13" t="n">
        <v>150000</v>
      </c>
      <c r="C49" s="7" t="s">
        <v>548</v>
      </c>
      <c r="D49" s="7" t="s">
        <v>576</v>
      </c>
    </row>
  </sheetData>
  <mergeCells count="3">
    <mergeCell ref="A1:J1"/>
    <mergeCell ref="A22:F22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4"/>
    <col collapsed="false" customWidth="true" hidden="false" outlineLevel="0" max="6" min="6" style="0" width="16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14" t="s">
        <v>577</v>
      </c>
      <c r="B1" s="14"/>
      <c r="C1" s="14"/>
      <c r="D1" s="14"/>
      <c r="E1" s="14"/>
      <c r="F1" s="14"/>
      <c r="G1" s="14"/>
    </row>
    <row r="2" customFormat="false" ht="27.75" hidden="false" customHeight="true" outlineLevel="0" collapsed="false">
      <c r="A2" s="1"/>
      <c r="B2" s="1" t="s">
        <v>14</v>
      </c>
      <c r="C2" s="1" t="s">
        <v>107</v>
      </c>
      <c r="D2" s="1" t="s">
        <v>177</v>
      </c>
      <c r="E2" s="1" t="s">
        <v>578</v>
      </c>
      <c r="F2" s="1" t="s">
        <v>579</v>
      </c>
      <c r="G2" s="1" t="s">
        <v>580</v>
      </c>
    </row>
    <row r="3" customFormat="false" ht="23.85" hidden="false" customHeight="false" outlineLevel="0" collapsed="false">
      <c r="A3" s="10" t="s">
        <v>581</v>
      </c>
      <c r="B3" s="11" t="n">
        <f aca="false">SUMIFS(ERP_Limpo!F:F,ERP_Limpo!G:G,"Receita",ERP_Limpo!O:O,"Out/25")</f>
        <v>4432710.55</v>
      </c>
      <c r="C3" s="11" t="n">
        <f aca="false">SUMIFS(ERP_Limpo!F:F,ERP_Limpo!G:G,"Receita",ERP_Limpo!O:O,"Nov/25")</f>
        <v>3956495.73</v>
      </c>
      <c r="D3" s="11" t="n">
        <f aca="false">SUMIFS(ERP_Limpo!F:F,ERP_Limpo!G:G,"Receita",ERP_Limpo!O:O,"Dez/25")</f>
        <v>2309191.53</v>
      </c>
      <c r="E3" s="6" t="n">
        <f aca="false">SUM(B3:D3)</f>
        <v>10698397.81</v>
      </c>
      <c r="F3" s="6" t="n">
        <v>442000</v>
      </c>
      <c r="G3" s="15" t="s">
        <v>582</v>
      </c>
    </row>
    <row r="4" customFormat="false" ht="23.85" hidden="false" customHeight="false" outlineLevel="0" collapsed="false">
      <c r="A4" s="0" t="s">
        <v>583</v>
      </c>
      <c r="B4" s="6" t="n">
        <f aca="false">-0.075*B3</f>
        <v>-332453.29125</v>
      </c>
      <c r="C4" s="6" t="n">
        <f aca="false">-0.075*C3</f>
        <v>-296737.17975</v>
      </c>
      <c r="D4" s="6" t="n">
        <f aca="false">-0.075*D3</f>
        <v>-173189.36475</v>
      </c>
      <c r="E4" s="6" t="n">
        <f aca="false">SUM(B4:D4)</f>
        <v>-802379.83575</v>
      </c>
      <c r="F4" s="6" t="n">
        <v>-33150</v>
      </c>
      <c r="G4" s="15" t="s">
        <v>584</v>
      </c>
    </row>
    <row r="5" customFormat="false" ht="23.85" hidden="false" customHeight="false" outlineLevel="0" collapsed="false">
      <c r="A5" s="0" t="s">
        <v>585</v>
      </c>
      <c r="B5" s="6" t="n">
        <f aca="false">0</f>
        <v>0</v>
      </c>
      <c r="C5" s="6" t="n">
        <f aca="false">0</f>
        <v>0</v>
      </c>
      <c r="D5" s="6" t="n">
        <f aca="false">0</f>
        <v>0</v>
      </c>
      <c r="E5" s="6" t="n">
        <f aca="false">SUM(B5:D5)</f>
        <v>0</v>
      </c>
      <c r="F5" s="6" t="n">
        <v>-5000</v>
      </c>
      <c r="G5" s="15" t="s">
        <v>586</v>
      </c>
    </row>
    <row r="6" customFormat="false" ht="15" hidden="false" customHeight="false" outlineLevel="0" collapsed="false">
      <c r="A6" s="10" t="s">
        <v>587</v>
      </c>
      <c r="B6" s="11" t="n">
        <f aca="false">SUM(B3,B4,B5)</f>
        <v>4100257.25875</v>
      </c>
      <c r="C6" s="11" t="n">
        <f aca="false">SUM(C3,C4,C5)</f>
        <v>3659758.55025</v>
      </c>
      <c r="D6" s="11" t="n">
        <f aca="false">SUM(D3,D4,D5)</f>
        <v>2136002.16525</v>
      </c>
      <c r="E6" s="6" t="n">
        <f aca="false">SUM(B6:D6)</f>
        <v>9896017.97425</v>
      </c>
      <c r="F6" s="16"/>
      <c r="G6" s="15"/>
    </row>
    <row r="8" customFormat="false" ht="15" hidden="false" customHeight="false" outlineLevel="0" collapsed="false">
      <c r="A8" s="10" t="s">
        <v>588</v>
      </c>
      <c r="F8" s="16"/>
      <c r="G8" s="15"/>
    </row>
    <row r="9" customFormat="false" ht="23.85" hidden="false" customHeight="false" outlineLevel="0" collapsed="false">
      <c r="A9" s="0" t="s">
        <v>589</v>
      </c>
      <c r="B9" s="6" t="n">
        <f aca="false">SUMIFS(ERP_Limpo!F:F,ERP_Limpo!G:G,"Despesa",ERP_Limpo!K:K,"Infraestrutura Cloud",ERP_Limpo!O:O,"Out/25")</f>
        <v>-1065900.05</v>
      </c>
      <c r="C9" s="6" t="n">
        <f aca="false">SUMIFS(ERP_Limpo!F:F,ERP_Limpo!G:G,"Despesa",ERP_Limpo!K:K,"Infraestrutura Cloud",ERP_Limpo!O:O,"Nov/25")</f>
        <v>-1100339.53</v>
      </c>
      <c r="D9" s="6" t="n">
        <f aca="false">SUMIFS(ERP_Limpo!F:F,ERP_Limpo!G:G,"Despesa",ERP_Limpo!K:K,"Infraestrutura Cloud",ERP_Limpo!O:O,"Dez/25")</f>
        <v>-298136.63</v>
      </c>
      <c r="E9" s="6" t="n">
        <f aca="false">SUM(B9:D9)</f>
        <v>-2464376.21</v>
      </c>
      <c r="F9" s="6" t="n">
        <v>-78000</v>
      </c>
      <c r="G9" s="15" t="s">
        <v>590</v>
      </c>
    </row>
    <row r="10" customFormat="false" ht="23.85" hidden="false" customHeight="false" outlineLevel="0" collapsed="false">
      <c r="A10" s="0" t="s">
        <v>591</v>
      </c>
      <c r="B10" s="6" t="n">
        <f aca="false">SUMIFS(ERP_Limpo!F:F,ERP_Limpo!G:G,"Despesa",ERP_Limpo!K:K,"SaaS/Ferramentas",ERP_Limpo!O:O,"Out/25")</f>
        <v>-2189381.34</v>
      </c>
      <c r="C10" s="6" t="n">
        <f aca="false">SUMIFS(ERP_Limpo!F:F,ERP_Limpo!G:G,"Despesa",ERP_Limpo!K:K,"SaaS/Ferramentas",ERP_Limpo!O:O,"Nov/25")</f>
        <v>-2117068.25</v>
      </c>
      <c r="D10" s="6" t="n">
        <f aca="false">SUMIFS(ERP_Limpo!F:F,ERP_Limpo!G:G,"Despesa",ERP_Limpo!K:K,"SaaS/Ferramentas",ERP_Limpo!O:O,"Dez/25")</f>
        <v>-1011489.09</v>
      </c>
      <c r="E10" s="6" t="n">
        <f aca="false">SUM(B10:D10)</f>
        <v>-5317938.68</v>
      </c>
      <c r="F10" s="6" t="n">
        <v>-12000</v>
      </c>
      <c r="G10" s="15" t="s">
        <v>592</v>
      </c>
    </row>
    <row r="11" customFormat="false" ht="15" hidden="false" customHeight="false" outlineLevel="0" collapsed="false">
      <c r="A11" s="10" t="s">
        <v>593</v>
      </c>
      <c r="B11" s="11" t="n">
        <f aca="false">SUM(B6,B9,B10)</f>
        <v>844975.86875</v>
      </c>
      <c r="C11" s="11" t="n">
        <f aca="false">SUM(C6,C9,C10)</f>
        <v>442350.77025</v>
      </c>
      <c r="D11" s="11" t="n">
        <f aca="false">SUM(D6,D9,D10)</f>
        <v>826376.44525</v>
      </c>
      <c r="E11" s="6" t="n">
        <f aca="false">SUM(B11:D11)</f>
        <v>2113703.08425</v>
      </c>
      <c r="F11" s="16"/>
      <c r="G11" s="15"/>
    </row>
    <row r="12" customFormat="false" ht="15" hidden="false" customHeight="false" outlineLevel="0" collapsed="false">
      <c r="A12" s="0" t="s">
        <v>594</v>
      </c>
      <c r="B12" s="17" t="n">
        <f aca="false">IF(B6=0,0,B11/B6)</f>
        <v>0.206078744680425</v>
      </c>
      <c r="C12" s="17" t="n">
        <f aca="false">IF(C6=0,0,C11/C6)</f>
        <v>0.120868839891031</v>
      </c>
      <c r="D12" s="17" t="n">
        <f aca="false">IF(D6=0,0,D11/D6)</f>
        <v>0.386879966085278</v>
      </c>
      <c r="F12" s="16"/>
      <c r="G12" s="15"/>
    </row>
    <row r="14" customFormat="false" ht="15" hidden="false" customHeight="false" outlineLevel="0" collapsed="false">
      <c r="A14" s="10" t="s">
        <v>595</v>
      </c>
      <c r="F14" s="16"/>
      <c r="G14" s="15"/>
    </row>
    <row r="15" customFormat="false" ht="23.85" hidden="false" customHeight="false" outlineLevel="0" collapsed="false">
      <c r="A15" s="7" t="s">
        <v>596</v>
      </c>
      <c r="B15" s="6" t="n">
        <f aca="false">SUMIFS(Extrato_Limpo!D:D,Extrato_Limpo!G:G,"Pessoal",Extrato_Limpo!I:I,"Out/25")</f>
        <v>-643611.31</v>
      </c>
      <c r="C15" s="6" t="n">
        <f aca="false">SUMIFS(Extrato_Limpo!D:D,Extrato_Limpo!G:G,"Pessoal",Extrato_Limpo!I:I,"Nov/25")</f>
        <v>0</v>
      </c>
      <c r="D15" s="6" t="n">
        <f aca="false">SUMIFS(Extrato_Limpo!D:D,Extrato_Limpo!G:G,"Pessoal",Extrato_Limpo!I:I,"Dez/25")</f>
        <v>-427955.5</v>
      </c>
      <c r="E15" s="6" t="n">
        <f aca="false">SUM(B15:D15)</f>
        <v>-1071566.81</v>
      </c>
      <c r="F15" s="6" t="n">
        <v>-185000</v>
      </c>
      <c r="G15" s="15" t="s">
        <v>597</v>
      </c>
    </row>
    <row r="16" customFormat="false" ht="15" hidden="false" customHeight="false" outlineLevel="0" collapsed="false">
      <c r="A16" s="0" t="s">
        <v>598</v>
      </c>
      <c r="B16" s="6" t="n">
        <f aca="false">SUMIFS(ERP_Limpo!F:F,ERP_Limpo!G:G,"Despesa",ERP_Limpo!K:K,"Benefícios",ERP_Limpo!O:O,"Out/25")</f>
        <v>-378087.33</v>
      </c>
      <c r="C16" s="6" t="n">
        <f aca="false">SUMIFS(ERP_Limpo!F:F,ERP_Limpo!G:G,"Despesa",ERP_Limpo!K:K,"Benefícios",ERP_Limpo!O:O,"Nov/25")</f>
        <v>-263581.84</v>
      </c>
      <c r="D16" s="6" t="n">
        <f aca="false">SUMIFS(ERP_Limpo!F:F,ERP_Limpo!G:G,"Despesa",ERP_Limpo!K:K,"Benefícios",ERP_Limpo!O:O,"Dez/25")</f>
        <v>-137101.58</v>
      </c>
      <c r="E16" s="6" t="n">
        <f aca="false">SUM(B16:D16)</f>
        <v>-778770.75</v>
      </c>
      <c r="F16" s="6" t="n">
        <v>-28000</v>
      </c>
      <c r="G16" s="15" t="s">
        <v>599</v>
      </c>
    </row>
    <row r="17" customFormat="false" ht="15" hidden="false" customHeight="false" outlineLevel="0" collapsed="false">
      <c r="A17" s="0" t="s">
        <v>600</v>
      </c>
      <c r="B17" s="6" t="n">
        <f aca="false">SUMIFS(ERP_Limpo!F:F,ERP_Limpo!G:G,"Despesa",ERP_Limpo!K:K,"Freelancers/PJ",ERP_Limpo!O:O,"Out/25")</f>
        <v>-122716.74</v>
      </c>
      <c r="C17" s="6" t="n">
        <f aca="false">SUMIFS(ERP_Limpo!F:F,ERP_Limpo!G:G,"Despesa",ERP_Limpo!K:K,"Freelancers/PJ",ERP_Limpo!O:O,"Nov/25")</f>
        <v>-809630.39</v>
      </c>
      <c r="D17" s="6" t="n">
        <f aca="false">SUMIFS(ERP_Limpo!F:F,ERP_Limpo!G:G,"Despesa",ERP_Limpo!K:K,"Freelancers/PJ",ERP_Limpo!O:O,"Dez/25")</f>
        <v>-719724.52</v>
      </c>
      <c r="E17" s="6" t="n">
        <f aca="false">SUM(B17:D17)</f>
        <v>-1652071.65</v>
      </c>
      <c r="F17" s="6" t="n">
        <v>-22000</v>
      </c>
      <c r="G17" s="15" t="s">
        <v>601</v>
      </c>
    </row>
    <row r="18" customFormat="false" ht="23.85" hidden="false" customHeight="false" outlineLevel="0" collapsed="false">
      <c r="A18" s="0" t="s">
        <v>602</v>
      </c>
      <c r="B18" s="6" t="n">
        <f aca="false">SUMIFS(ERP_Limpo!F:F,ERP_Limpo!G:G,"Despesa",ERP_Limpo!K:K,"Aluguel e Facilities",ERP_Limpo!O:O,"Out/25")</f>
        <v>-760465.81</v>
      </c>
      <c r="C18" s="6" t="n">
        <f aca="false">SUMIFS(ERP_Limpo!F:F,ERP_Limpo!G:G,"Despesa",ERP_Limpo!K:K,"Aluguel e Facilities",ERP_Limpo!O:O,"Nov/25")</f>
        <v>0</v>
      </c>
      <c r="D18" s="6" t="n">
        <f aca="false">SUMIFS(ERP_Limpo!F:F,ERP_Limpo!G:G,"Despesa",ERP_Limpo!K:K,"Aluguel e Facilities",ERP_Limpo!O:O,"Dez/25")</f>
        <v>-125962.37</v>
      </c>
      <c r="E18" s="6" t="n">
        <f aca="false">SUM(B18:D18)</f>
        <v>-886428.18</v>
      </c>
      <c r="F18" s="6" t="n">
        <v>-15000</v>
      </c>
      <c r="G18" s="15" t="s">
        <v>603</v>
      </c>
    </row>
    <row r="19" customFormat="false" ht="23.85" hidden="false" customHeight="false" outlineLevel="0" collapsed="false">
      <c r="A19" s="0" t="s">
        <v>604</v>
      </c>
      <c r="B19" s="6" t="n">
        <f aca="false">SUMIFS(ERP_Limpo!F:F,ERP_Limpo!G:G,"Despesa",ERP_Limpo!K:K,"Jurídico e Contabilidade",ERP_Limpo!O:O,"Out/25")</f>
        <v>-292739.24</v>
      </c>
      <c r="C19" s="6" t="n">
        <f aca="false">SUMIFS(ERP_Limpo!F:F,ERP_Limpo!G:G,"Despesa",ERP_Limpo!K:K,"Jurídico e Contabilidade",ERP_Limpo!O:O,"Nov/25")</f>
        <v>-514354</v>
      </c>
      <c r="D19" s="6" t="n">
        <f aca="false">SUMIFS(ERP_Limpo!F:F,ERP_Limpo!G:G,"Despesa",ERP_Limpo!K:K,"Jurídico e Contabilidade",ERP_Limpo!O:O,"Dez/25")</f>
        <v>-119893.53</v>
      </c>
      <c r="E19" s="6" t="n">
        <f aca="false">SUM(B19:D19)</f>
        <v>-926986.77</v>
      </c>
      <c r="F19" s="6" t="n">
        <v>-8000</v>
      </c>
      <c r="G19" s="15" t="s">
        <v>605</v>
      </c>
    </row>
    <row r="20" customFormat="false" ht="15" hidden="false" customHeight="false" outlineLevel="0" collapsed="false">
      <c r="A20" s="0" t="s">
        <v>606</v>
      </c>
      <c r="B20" s="6" t="n">
        <f aca="false">SUMIFS(ERP_Limpo!F:F,ERP_Limpo!G:G,"Despesa",ERP_Limpo!K:K,"Viagens",ERP_Limpo!O:O,"Out/25")</f>
        <v>0</v>
      </c>
      <c r="C20" s="6" t="n">
        <f aca="false">SUMIFS(ERP_Limpo!F:F,ERP_Limpo!G:G,"Despesa",ERP_Limpo!K:K,"Viagens",ERP_Limpo!O:O,"Nov/25")</f>
        <v>0</v>
      </c>
      <c r="D20" s="6" t="n">
        <f aca="false">SUMIFS(ERP_Limpo!F:F,ERP_Limpo!G:G,"Despesa",ERP_Limpo!K:K,"Viagens",ERP_Limpo!O:O,"Dez/25")</f>
        <v>0</v>
      </c>
      <c r="E20" s="6" t="n">
        <f aca="false">SUM(B20:D20)</f>
        <v>0</v>
      </c>
      <c r="F20" s="6" t="n">
        <v>-5000</v>
      </c>
      <c r="G20" s="15" t="s">
        <v>607</v>
      </c>
    </row>
    <row r="21" customFormat="false" ht="15" hidden="false" customHeight="false" outlineLevel="0" collapsed="false">
      <c r="A21" s="0" t="s">
        <v>608</v>
      </c>
      <c r="B21" s="6" t="n">
        <f aca="false">SUMIFS(ERP_Limpo!F:F,ERP_Limpo!G:G,"Despesa",ERP_Limpo!K:K,"Seguros",ERP_Limpo!O:O,"Out/25")</f>
        <v>-596725.73</v>
      </c>
      <c r="C21" s="6" t="n">
        <f aca="false">SUMIFS(ERP_Limpo!F:F,ERP_Limpo!G:G,"Despesa",ERP_Limpo!K:K,"Seguros",ERP_Limpo!O:O,"Nov/25")</f>
        <v>-434342.63</v>
      </c>
      <c r="D21" s="6" t="n">
        <f aca="false">SUMIFS(ERP_Limpo!F:F,ERP_Limpo!G:G,"Despesa",ERP_Limpo!K:K,"Seguros",ERP_Limpo!O:O,"Dez/25")</f>
        <v>-515470.84</v>
      </c>
      <c r="E21" s="6" t="n">
        <f aca="false">SUM(B21:D21)</f>
        <v>-1546539.2</v>
      </c>
      <c r="F21" s="6" t="n">
        <v>-4000</v>
      </c>
      <c r="G21" s="15" t="s">
        <v>609</v>
      </c>
    </row>
    <row r="22" customFormat="false" ht="23.85" hidden="false" customHeight="false" outlineLevel="0" collapsed="false">
      <c r="A22" s="0" t="s">
        <v>610</v>
      </c>
      <c r="B22" s="6" t="n">
        <f aca="false">SUMIFS(ERP_Limpo!F:F,ERP_Limpo!G:G,"Despesa",ERP_Limpo!K:K,"Outros",ERP_Limpo!O:O,"Out/25")</f>
        <v>0</v>
      </c>
      <c r="C22" s="6" t="n">
        <f aca="false">SUMIFS(ERP_Limpo!F:F,ERP_Limpo!G:G,"Despesa",ERP_Limpo!K:K,"Outros",ERP_Limpo!O:O,"Nov/25")</f>
        <v>0</v>
      </c>
      <c r="D22" s="6" t="n">
        <f aca="false">SUMIFS(ERP_Limpo!F:F,ERP_Limpo!G:G,"Despesa",ERP_Limpo!K:K,"Outros",ERP_Limpo!O:O,"Dez/25")</f>
        <v>0</v>
      </c>
      <c r="E22" s="6" t="n">
        <f aca="false">SUM(B22:D22)</f>
        <v>0</v>
      </c>
      <c r="F22" s="6" t="n">
        <v>-4000</v>
      </c>
      <c r="G22" s="15" t="s">
        <v>611</v>
      </c>
    </row>
    <row r="23" customFormat="false" ht="15" hidden="false" customHeight="false" outlineLevel="0" collapsed="false">
      <c r="A23" s="10" t="s">
        <v>612</v>
      </c>
      <c r="B23" s="11" t="n">
        <f aca="false">SUM(B15,B16,B17,B18,B19,B20,B21,B22)</f>
        <v>-2794346.16</v>
      </c>
      <c r="C23" s="11" t="n">
        <f aca="false">SUM(C15,C16,C17,C18,C19,C20,C21,C22)</f>
        <v>-2021908.86</v>
      </c>
      <c r="D23" s="11" t="n">
        <f aca="false">SUM(D15,D16,D17,D18,D19,D20,D21,D22)</f>
        <v>-2046108.34</v>
      </c>
      <c r="E23" s="6" t="n">
        <f aca="false">SUM(B23:D23)</f>
        <v>-6862363.36</v>
      </c>
      <c r="F23" s="16"/>
      <c r="G23" s="15"/>
    </row>
    <row r="25" customFormat="false" ht="15" hidden="false" customHeight="false" outlineLevel="0" collapsed="false">
      <c r="A25" s="10" t="s">
        <v>613</v>
      </c>
      <c r="B25" s="11" t="n">
        <f aca="false">SUM(B11,B23)</f>
        <v>-1949370.29125</v>
      </c>
      <c r="C25" s="11" t="n">
        <f aca="false">SUM(C11,C23)</f>
        <v>-1579558.08975</v>
      </c>
      <c r="D25" s="11" t="n">
        <f aca="false">SUM(D11,D23)</f>
        <v>-1219731.89475</v>
      </c>
      <c r="E25" s="6" t="n">
        <f aca="false">SUM(B25:D25)</f>
        <v>-4748660.27575</v>
      </c>
      <c r="F25" s="16"/>
      <c r="G25" s="15"/>
    </row>
    <row r="26" customFormat="false" ht="15" hidden="false" customHeight="false" outlineLevel="0" collapsed="false">
      <c r="A26" s="0" t="s">
        <v>614</v>
      </c>
      <c r="B26" s="17" t="n">
        <f aca="false">IF(B6=0,0,B25/B6)</f>
        <v>-0.475426337479196</v>
      </c>
      <c r="C26" s="17" t="n">
        <f aca="false">IF(C6=0,0,C25/C6)</f>
        <v>-0.431601721278061</v>
      </c>
      <c r="D26" s="17" t="n">
        <f aca="false">IF(D6=0,0,D25/D6)</f>
        <v>-0.571034952395398</v>
      </c>
      <c r="F26" s="16"/>
      <c r="G26" s="15"/>
    </row>
    <row r="28" customFormat="false" ht="15" hidden="false" customHeight="false" outlineLevel="0" collapsed="false">
      <c r="A28" s="0" t="s">
        <v>615</v>
      </c>
      <c r="B28" s="6" t="n">
        <v>-3000</v>
      </c>
      <c r="C28" s="6" t="n">
        <v>-3000</v>
      </c>
      <c r="D28" s="6" t="n">
        <v>-3000</v>
      </c>
      <c r="E28" s="6" t="n">
        <f aca="false">SUM(B28:D28)</f>
        <v>-9000</v>
      </c>
      <c r="F28" s="6" t="n">
        <v>-3000</v>
      </c>
      <c r="G28" s="15" t="s">
        <v>616</v>
      </c>
    </row>
    <row r="29" customFormat="false" ht="15" hidden="false" customHeight="false" outlineLevel="0" collapsed="false">
      <c r="A29" s="10" t="s">
        <v>617</v>
      </c>
      <c r="B29" s="11" t="n">
        <f aca="false">SUM(B25,B28)</f>
        <v>-1952370.29125</v>
      </c>
      <c r="C29" s="11" t="n">
        <f aca="false">SUM(C25,C28)</f>
        <v>-1582558.08975</v>
      </c>
      <c r="D29" s="11" t="n">
        <f aca="false">SUM(D25,D28)</f>
        <v>-1222731.89475</v>
      </c>
      <c r="E29" s="6" t="n">
        <f aca="false">SUM(B29:D29)</f>
        <v>-4757660.27575</v>
      </c>
      <c r="F29" s="16"/>
      <c r="G29" s="15"/>
    </row>
    <row r="31" customFormat="false" ht="15" hidden="false" customHeight="false" outlineLevel="0" collapsed="false">
      <c r="A31" s="0" t="s">
        <v>618</v>
      </c>
      <c r="B31" s="6" t="n">
        <v>2500</v>
      </c>
      <c r="C31" s="6" t="n">
        <v>3200</v>
      </c>
      <c r="D31" s="6" t="n">
        <v>2800</v>
      </c>
      <c r="E31" s="6" t="n">
        <f aca="false">SUM(B31:D31)</f>
        <v>8500</v>
      </c>
      <c r="F31" s="6" t="n">
        <v>2500</v>
      </c>
      <c r="G31" s="15" t="s">
        <v>616</v>
      </c>
    </row>
    <row r="32" customFormat="false" ht="15" hidden="false" customHeight="false" outlineLevel="0" collapsed="false">
      <c r="A32" s="0" t="s">
        <v>619</v>
      </c>
      <c r="B32" s="6" t="n">
        <v>-1500</v>
      </c>
      <c r="C32" s="6" t="n">
        <v>-1800</v>
      </c>
      <c r="D32" s="6" t="n">
        <v>-2200</v>
      </c>
      <c r="E32" s="6" t="n">
        <f aca="false">SUM(B32:D32)</f>
        <v>-5500</v>
      </c>
      <c r="F32" s="6" t="n">
        <v>-1500</v>
      </c>
      <c r="G32" s="15" t="s">
        <v>616</v>
      </c>
    </row>
    <row r="33" customFormat="false" ht="15" hidden="false" customHeight="false" outlineLevel="0" collapsed="false">
      <c r="A33" s="10" t="s">
        <v>620</v>
      </c>
      <c r="B33" s="11" t="n">
        <f aca="false">SUM(B31,B32)</f>
        <v>1000</v>
      </c>
      <c r="C33" s="11" t="n">
        <f aca="false">SUM(C31,C32)</f>
        <v>1400</v>
      </c>
      <c r="D33" s="11" t="n">
        <f aca="false">SUM(D31,D32)</f>
        <v>600</v>
      </c>
      <c r="E33" s="6" t="n">
        <f aca="false">SUM(B33:D33)</f>
        <v>3000</v>
      </c>
      <c r="F33" s="16"/>
      <c r="G33" s="15"/>
    </row>
    <row r="35" customFormat="false" ht="15" hidden="false" customHeight="false" outlineLevel="0" collapsed="false">
      <c r="A35" s="10" t="s">
        <v>621</v>
      </c>
      <c r="B35" s="11" t="n">
        <f aca="false">SUM(B29,B33)</f>
        <v>-1951370.29125</v>
      </c>
      <c r="C35" s="11" t="n">
        <f aca="false">SUM(C29,C33)</f>
        <v>-1581158.08975</v>
      </c>
      <c r="D35" s="11" t="n">
        <f aca="false">SUM(D29,D33)</f>
        <v>-1222131.89475</v>
      </c>
      <c r="E35" s="6" t="n">
        <f aca="false">SUM(B35:D35)</f>
        <v>-4754660.27575</v>
      </c>
      <c r="F35" s="16"/>
      <c r="G35" s="15"/>
    </row>
    <row r="36" customFormat="false" ht="15" hidden="false" customHeight="false" outlineLevel="0" collapsed="false">
      <c r="A36" s="0" t="s">
        <v>622</v>
      </c>
      <c r="B36" s="6" t="n">
        <v>0</v>
      </c>
      <c r="C36" s="6" t="n">
        <v>0</v>
      </c>
      <c r="D36" s="6" t="n">
        <v>0</v>
      </c>
      <c r="E36" s="6" t="n">
        <f aca="false">SUM(B36:D36)</f>
        <v>0</v>
      </c>
      <c r="F36" s="16" t="n">
        <v>0</v>
      </c>
      <c r="G36" s="15"/>
    </row>
    <row r="37" customFormat="false" ht="15" hidden="false" customHeight="false" outlineLevel="0" collapsed="false">
      <c r="A37" s="10" t="s">
        <v>623</v>
      </c>
      <c r="B37" s="11" t="n">
        <f aca="false">SUM(B35,B36)</f>
        <v>-1951370.29125</v>
      </c>
      <c r="C37" s="11" t="n">
        <f aca="false">SUM(C35,C36)</f>
        <v>-1581158.08975</v>
      </c>
      <c r="D37" s="11" t="n">
        <f aca="false">SUM(D35,D36)</f>
        <v>-1222131.89475</v>
      </c>
      <c r="E37" s="6" t="n">
        <f aca="false">SUM(B37:D37)</f>
        <v>-4754660.27575</v>
      </c>
      <c r="F37" s="16"/>
      <c r="G37" s="15"/>
    </row>
    <row r="38" customFormat="false" ht="15" hidden="false" customHeight="false" outlineLevel="0" collapsed="false">
      <c r="A38" s="0" t="s">
        <v>624</v>
      </c>
      <c r="B38" s="17" t="n">
        <f aca="false">IF(B6=0,0,B37/B6)</f>
        <v>-0.475914111751342</v>
      </c>
      <c r="C38" s="17" t="n">
        <f aca="false">IF(C6=0,0,C37/C6)</f>
        <v>-0.432038908589199</v>
      </c>
      <c r="D38" s="17" t="n">
        <f aca="false">IF(D6=0,0,D37/D6)</f>
        <v>-0.572158546762035</v>
      </c>
      <c r="F38" s="16"/>
      <c r="G38" s="1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4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14" t="s">
        <v>625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"/>
      <c r="B2" s="1" t="s">
        <v>14</v>
      </c>
      <c r="C2" s="1" t="s">
        <v>107</v>
      </c>
      <c r="D2" s="1" t="s">
        <v>177</v>
      </c>
      <c r="E2" s="1" t="s">
        <v>626</v>
      </c>
      <c r="F2" s="1" t="s">
        <v>627</v>
      </c>
    </row>
    <row r="3" customFormat="false" ht="35.05" hidden="false" customHeight="false" outlineLevel="0" collapsed="false">
      <c r="A3" s="0" t="s">
        <v>628</v>
      </c>
      <c r="B3" s="18" t="n">
        <v>2850000</v>
      </c>
      <c r="C3" s="18" t="n">
        <f aca="false">B15</f>
        <v>4201114.69</v>
      </c>
      <c r="D3" s="18" t="n">
        <f aca="false">C15</f>
        <v>8142026.5</v>
      </c>
      <c r="E3" s="6"/>
      <c r="F3" s="15" t="s">
        <v>629</v>
      </c>
    </row>
    <row r="5" customFormat="false" ht="15" hidden="false" customHeight="false" outlineLevel="0" collapsed="false">
      <c r="A5" s="0" t="s">
        <v>630</v>
      </c>
      <c r="B5" s="6" t="n">
        <f aca="false">SUMIFS(Extrato_Limpo!D:D,Extrato_Limpo!D:D,"&gt;0",Extrato_Limpo!H:H,"Sim",Extrato_Limpo!I:I,"Out/25")</f>
        <v>2829374.43</v>
      </c>
      <c r="C5" s="6" t="n">
        <f aca="false">SUMIFS(Extrato_Limpo!D:D,Extrato_Limpo!D:D,"&gt;0",Extrato_Limpo!H:H,"Sim",Extrato_Limpo!I:I,"Nov/25")</f>
        <v>3765799</v>
      </c>
      <c r="D5" s="6" t="n">
        <f aca="false">SUMIFS(Extrato_Limpo!D:D,Extrato_Limpo!D:D,"&gt;0",Extrato_Limpo!H:H,"Sim",Extrato_Limpo!I:I,"Dez/25")</f>
        <v>3904870.66</v>
      </c>
      <c r="E5" s="6" t="n">
        <f aca="false">AVERAGE(B5:D5)</f>
        <v>3500014.69666667</v>
      </c>
      <c r="F5" s="15" t="s">
        <v>631</v>
      </c>
    </row>
    <row r="6" customFormat="false" ht="15" hidden="false" customHeight="false" outlineLevel="0" collapsed="false">
      <c r="A6" s="0" t="s">
        <v>632</v>
      </c>
      <c r="B6" s="6" t="n">
        <f aca="false">SUMIFS(Extrato_Limpo!D:D,Extrato_Limpo!D:D,"&lt;0",Extrato_Limpo!H:H,"Sim",Extrato_Limpo!I:I,"Out/25")</f>
        <v>-1495420.96</v>
      </c>
      <c r="C6" s="6" t="n">
        <f aca="false">SUMIFS(Extrato_Limpo!D:D,Extrato_Limpo!D:D,"&lt;0",Extrato_Limpo!H:H,"Sim",Extrato_Limpo!I:I,"Nov/25")</f>
        <v>-1334394</v>
      </c>
      <c r="D6" s="6" t="n">
        <f aca="false">SUMIFS(Extrato_Limpo!D:D,Extrato_Limpo!D:D,"&lt;0",Extrato_Limpo!H:H,"Sim",Extrato_Limpo!I:I,"Dez/25")</f>
        <v>-1275197.94</v>
      </c>
      <c r="E6" s="6" t="n">
        <f aca="false">AVERAGE(B6:D6)</f>
        <v>-1368337.63333333</v>
      </c>
      <c r="F6" s="15" t="s">
        <v>633</v>
      </c>
    </row>
    <row r="7" customFormat="false" ht="15" hidden="false" customHeight="false" outlineLevel="0" collapsed="false">
      <c r="A7" s="0" t="s">
        <v>634</v>
      </c>
      <c r="B7" s="11" t="n">
        <f aca="false">B5+B6</f>
        <v>1333953.47</v>
      </c>
      <c r="C7" s="11" t="n">
        <f aca="false">C5+C6</f>
        <v>2431405</v>
      </c>
      <c r="D7" s="11" t="n">
        <f aca="false">D5+D6</f>
        <v>2629672.72</v>
      </c>
      <c r="E7" s="6" t="n">
        <f aca="false">AVERAGE(B7:D7)</f>
        <v>2131677.06333333</v>
      </c>
      <c r="F7" s="15"/>
    </row>
    <row r="9" customFormat="false" ht="23.85" hidden="false" customHeight="false" outlineLevel="0" collapsed="false">
      <c r="A9" s="0" t="s">
        <v>635</v>
      </c>
      <c r="B9" s="6" t="n">
        <f aca="false">SUMIFS(Extrato_Limpo!D:D,Extrato_Limpo!G:G,"Aporte de Investidor",Extrato_Limpo!I:I,"Out/25")</f>
        <v>0</v>
      </c>
      <c r="C9" s="6" t="n">
        <f aca="false">SUMIFS(Extrato_Limpo!D:D,Extrato_Limpo!G:G,"Aporte de Investidor",Extrato_Limpo!I:I,"Nov/25")</f>
        <v>1500000</v>
      </c>
      <c r="D9" s="6" t="n">
        <f aca="false">SUMIFS(Extrato_Limpo!D:D,Extrato_Limpo!G:G,"Aporte de Investidor",Extrato_Limpo!I:I,"Dez/25")</f>
        <v>1500000</v>
      </c>
      <c r="E9" s="6" t="n">
        <f aca="false">AVERAGE(B9:D9)</f>
        <v>1000000</v>
      </c>
      <c r="F9" s="15" t="s">
        <v>636</v>
      </c>
    </row>
    <row r="10" customFormat="false" ht="15" hidden="false" customHeight="false" outlineLevel="0" collapsed="false">
      <c r="A10" s="0" t="s">
        <v>637</v>
      </c>
      <c r="B10" s="6" t="n">
        <f aca="false">SUMIFS(Extrato_Limpo!D:D,Extrato_Limpo!G:G,"Receita Financeira",Extrato_Limpo!I:I,"Out/25")</f>
        <v>10842.55</v>
      </c>
      <c r="C10" s="6" t="n">
        <f aca="false">SUMIFS(Extrato_Limpo!D:D,Extrato_Limpo!G:G,"Receita Financeira",Extrato_Limpo!I:I,"Nov/25")</f>
        <v>0</v>
      </c>
      <c r="D10" s="6" t="n">
        <f aca="false">SUMIFS(Extrato_Limpo!D:D,Extrato_Limpo!G:G,"Receita Financeira",Extrato_Limpo!I:I,"Dez/25")</f>
        <v>2477.48</v>
      </c>
      <c r="E10" s="6" t="n">
        <f aca="false">AVERAGE(B10:D10)</f>
        <v>4440.01</v>
      </c>
      <c r="F10" s="15" t="s">
        <v>638</v>
      </c>
    </row>
    <row r="11" customFormat="false" ht="15" hidden="false" customHeight="false" outlineLevel="0" collapsed="false">
      <c r="A11" s="0" t="s">
        <v>639</v>
      </c>
      <c r="B11" s="6" t="n">
        <f aca="false">SUMIFS(Extrato_Limpo!D:D,Extrato_Limpo!G:G,"Estorno",Extrato_Limpo!I:I,"Out/25")</f>
        <v>6318.67</v>
      </c>
      <c r="C11" s="6" t="n">
        <f aca="false">SUMIFS(Extrato_Limpo!D:D,Extrato_Limpo!G:G,"Estorno",Extrato_Limpo!I:I,"Nov/25")</f>
        <v>9506.81</v>
      </c>
      <c r="D11" s="6" t="n">
        <f aca="false">SUMIFS(Extrato_Limpo!D:D,Extrato_Limpo!G:G,"Estorno",Extrato_Limpo!I:I,"Dez/25")</f>
        <v>1170.1</v>
      </c>
      <c r="E11" s="6" t="n">
        <f aca="false">AVERAGE(B11:D11)</f>
        <v>5665.19333333333</v>
      </c>
      <c r="F11" s="15" t="s">
        <v>640</v>
      </c>
    </row>
    <row r="12" customFormat="false" ht="15" hidden="false" customHeight="false" outlineLevel="0" collapsed="false">
      <c r="A12" s="0" t="s">
        <v>641</v>
      </c>
      <c r="B12" s="6" t="n">
        <f aca="false">SUMIFS(Extrato_Limpo!D:D,Extrato_Limpo!G:G,"Transferência Interna",Extrato_Limpo!I:I,"Out/25")</f>
        <v>-517401.13</v>
      </c>
      <c r="C12" s="6" t="n">
        <f aca="false">SUMIFS(Extrato_Limpo!D:D,Extrato_Limpo!G:G,"Transferência Interna",Extrato_Limpo!I:I,"Nov/25")</f>
        <v>-723592.84</v>
      </c>
      <c r="D12" s="6" t="n">
        <f aca="false">SUMIFS(Extrato_Limpo!D:D,Extrato_Limpo!G:G,"Transferência Interna",Extrato_Limpo!I:I,"Dez/25")</f>
        <v>-533001.95</v>
      </c>
      <c r="E12" s="6" t="n">
        <f aca="false">AVERAGE(B12:D12)</f>
        <v>-591331.973333333</v>
      </c>
      <c r="F12" s="15" t="s">
        <v>642</v>
      </c>
    </row>
    <row r="14" customFormat="false" ht="15" hidden="false" customHeight="false" outlineLevel="0" collapsed="false">
      <c r="A14" s="0" t="s">
        <v>643</v>
      </c>
      <c r="B14" s="11" t="n">
        <f aca="false">B7+B9+B10+B11</f>
        <v>1351114.69</v>
      </c>
      <c r="C14" s="11" t="n">
        <f aca="false">C7+C9+C10+C11</f>
        <v>3940911.81</v>
      </c>
      <c r="D14" s="11" t="n">
        <f aca="false">D7+D9+D10+D11</f>
        <v>4133320.3</v>
      </c>
      <c r="E14" s="6" t="n">
        <f aca="false">AVERAGE(B14:D14)</f>
        <v>3141782.26666667</v>
      </c>
      <c r="F14" s="15"/>
    </row>
    <row r="15" customFormat="false" ht="15" hidden="false" customHeight="false" outlineLevel="0" collapsed="false">
      <c r="A15" s="0" t="s">
        <v>644</v>
      </c>
      <c r="B15" s="11" t="n">
        <f aca="false">B3+B14</f>
        <v>4201114.69</v>
      </c>
      <c r="C15" s="11" t="n">
        <f aca="false">B15+C14</f>
        <v>8142026.5</v>
      </c>
      <c r="D15" s="11" t="n">
        <f aca="false">C15+D14</f>
        <v>12275346.8</v>
      </c>
      <c r="E15" s="6" t="n">
        <f aca="false">AVERAGE(B15:D15)</f>
        <v>8206162.66333333</v>
      </c>
      <c r="F15" s="15"/>
    </row>
    <row r="17" customFormat="false" ht="15" hidden="false" customHeight="false" outlineLevel="0" collapsed="false">
      <c r="A17" s="0" t="s">
        <v>645</v>
      </c>
      <c r="B17" s="6" t="n">
        <f aca="false">-B14</f>
        <v>-1351114.69</v>
      </c>
      <c r="C17" s="6" t="n">
        <f aca="false">-C14</f>
        <v>-3940911.81</v>
      </c>
      <c r="D17" s="6" t="n">
        <f aca="false">-D14</f>
        <v>-4133320.3</v>
      </c>
      <c r="E17" s="6" t="n">
        <f aca="false">AVERAGE(B17:D17)</f>
        <v>-3141782.26666667</v>
      </c>
      <c r="F17" s="15" t="s">
        <v>646</v>
      </c>
    </row>
    <row r="18" customFormat="false" ht="15" hidden="false" customHeight="false" outlineLevel="0" collapsed="false">
      <c r="A18" s="0" t="s">
        <v>647</v>
      </c>
      <c r="B18" s="19" t="str">
        <f aca="false">IF(B17&lt;=0,"N/A",B15/B17)</f>
        <v>N/A</v>
      </c>
      <c r="C18" s="19" t="str">
        <f aca="false">IF(C17&lt;=0,"N/A",C15/C17)</f>
        <v>N/A</v>
      </c>
      <c r="D18" s="19" t="str">
        <f aca="false">IF(D17&lt;=0,"N/A",D15/D17)</f>
        <v>N/A</v>
      </c>
      <c r="E18" s="6" t="e">
        <f aca="false">AVERAGE(B18:D18)</f>
        <v>#DIV/0!</v>
      </c>
      <c r="F18" s="15" t="s">
        <v>648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9" min="9" style="0" width="32"/>
    <col collapsed="false" customWidth="true" hidden="false" outlineLevel="0" max="10" min="10" style="0" width="36"/>
    <col collapsed="false" customWidth="true" hidden="false" outlineLevel="0" max="11" min="11" style="0" width="8"/>
    <col collapsed="false" customWidth="true" hidden="false" outlineLevel="0" max="12" min="12" style="0" width="16"/>
  </cols>
  <sheetData>
    <row r="1" customFormat="false" ht="23.85" hidden="false" customHeight="false" outlineLevel="0" collapsed="false">
      <c r="A1" s="1" t="s">
        <v>2</v>
      </c>
      <c r="B1" s="1" t="s">
        <v>229</v>
      </c>
      <c r="C1" s="1" t="s">
        <v>1</v>
      </c>
      <c r="D1" s="1" t="s">
        <v>3</v>
      </c>
      <c r="E1" s="1" t="s">
        <v>649</v>
      </c>
      <c r="F1" s="1" t="s">
        <v>228</v>
      </c>
      <c r="G1" s="1" t="s">
        <v>650</v>
      </c>
      <c r="H1" s="1" t="s">
        <v>225</v>
      </c>
      <c r="I1" s="1" t="s">
        <v>574</v>
      </c>
      <c r="J1" s="1" t="s">
        <v>651</v>
      </c>
      <c r="K1" s="1" t="s">
        <v>652</v>
      </c>
      <c r="L1" s="1" t="s">
        <v>653</v>
      </c>
    </row>
    <row r="2" customFormat="false" ht="15" hidden="false" customHeight="false" outlineLevel="0" collapsed="false">
      <c r="A2" s="3" t="s">
        <v>654</v>
      </c>
      <c r="B2" s="3" t="s">
        <v>265</v>
      </c>
      <c r="C2" s="3" t="s">
        <v>655</v>
      </c>
      <c r="D2" s="4" t="n">
        <v>38000</v>
      </c>
      <c r="E2" s="2" t="n">
        <v>45976</v>
      </c>
      <c r="F2" s="3" t="s">
        <v>656</v>
      </c>
      <c r="G2" s="3" t="n">
        <v>46</v>
      </c>
      <c r="H2" s="3" t="s">
        <v>242</v>
      </c>
      <c r="I2" s="3" t="s">
        <v>657</v>
      </c>
      <c r="J2" s="3" t="s">
        <v>658</v>
      </c>
      <c r="K2" s="3" t="s">
        <v>659</v>
      </c>
      <c r="L2" s="4" t="n">
        <f aca="false">SUMIFS(Extrato_Limpo!D:D,Extrato_Limpo!G:G,"Receita de Cliente",Extrato_Limpo!B:B,"*BETA SAAS*")</f>
        <v>1261517.68</v>
      </c>
    </row>
    <row r="3" customFormat="false" ht="15" hidden="false" customHeight="false" outlineLevel="0" collapsed="false">
      <c r="A3" s="8" t="s">
        <v>654</v>
      </c>
      <c r="B3" s="8" t="s">
        <v>302</v>
      </c>
      <c r="C3" s="8" t="s">
        <v>660</v>
      </c>
      <c r="D3" s="20" t="n">
        <v>18000</v>
      </c>
      <c r="E3" s="21" t="n">
        <v>45950</v>
      </c>
      <c r="F3" s="8" t="s">
        <v>656</v>
      </c>
      <c r="G3" s="8" t="n">
        <v>72</v>
      </c>
      <c r="H3" s="8" t="s">
        <v>242</v>
      </c>
      <c r="I3" s="8" t="s">
        <v>661</v>
      </c>
      <c r="J3" s="8" t="s">
        <v>662</v>
      </c>
      <c r="K3" s="8" t="s">
        <v>659</v>
      </c>
      <c r="L3" s="20" t="n">
        <f aca="false">SUMIFS(Extrato_Limpo!D:D,Extrato_Limpo!G:G,"Receita de Cliente",Extrato_Limpo!B:B,"*DELTA CLOUD*")</f>
        <v>787246.79</v>
      </c>
    </row>
    <row r="4" customFormat="false" ht="15" hidden="false" customHeight="false" outlineLevel="0" collapsed="false">
      <c r="A4" s="3" t="s">
        <v>654</v>
      </c>
      <c r="B4" s="3" t="s">
        <v>558</v>
      </c>
      <c r="C4" s="3" t="s">
        <v>663</v>
      </c>
      <c r="D4" s="4" t="n">
        <v>19000</v>
      </c>
      <c r="E4" s="2" t="n">
        <v>45955</v>
      </c>
      <c r="F4" s="3" t="s">
        <v>656</v>
      </c>
      <c r="G4" s="3" t="n">
        <v>67</v>
      </c>
      <c r="H4" s="3" t="s">
        <v>242</v>
      </c>
      <c r="I4" s="3" t="s">
        <v>664</v>
      </c>
      <c r="J4" s="3" t="s">
        <v>665</v>
      </c>
      <c r="K4" s="3" t="s">
        <v>659</v>
      </c>
      <c r="L4" s="4" t="n">
        <v>0</v>
      </c>
    </row>
    <row r="5" customFormat="false" ht="15" hidden="false" customHeight="false" outlineLevel="0" collapsed="false">
      <c r="A5" s="0" t="s">
        <v>654</v>
      </c>
      <c r="B5" s="0" t="s">
        <v>260</v>
      </c>
      <c r="C5" s="0" t="s">
        <v>666</v>
      </c>
      <c r="D5" s="6" t="n">
        <v>45000</v>
      </c>
      <c r="E5" s="5" t="n">
        <v>46032</v>
      </c>
      <c r="F5" s="0" t="s">
        <v>667</v>
      </c>
      <c r="G5" s="0" t="n">
        <v>0</v>
      </c>
      <c r="H5" s="0" t="s">
        <v>242</v>
      </c>
      <c r="J5" s="0" t="s">
        <v>668</v>
      </c>
      <c r="K5" s="0" t="s">
        <v>669</v>
      </c>
      <c r="L5" s="6" t="n">
        <f aca="false">SUMIFS(Extrato_Limpo!D:D,Extrato_Limpo!G:G,"Receita de Cliente",Extrato_Limpo!B:B,"*ALPHA TECH*")</f>
        <v>2040122.59</v>
      </c>
    </row>
    <row r="6" customFormat="false" ht="15" hidden="false" customHeight="false" outlineLevel="0" collapsed="false">
      <c r="A6" s="3" t="s">
        <v>654</v>
      </c>
      <c r="B6" s="3" t="s">
        <v>327</v>
      </c>
      <c r="C6" s="3" t="s">
        <v>670</v>
      </c>
      <c r="D6" s="4" t="n">
        <v>55000</v>
      </c>
      <c r="E6" s="2" t="n">
        <v>46032</v>
      </c>
      <c r="F6" s="3" t="s">
        <v>667</v>
      </c>
      <c r="G6" s="3" t="n">
        <v>0</v>
      </c>
      <c r="H6" s="3" t="s">
        <v>242</v>
      </c>
      <c r="I6" s="3"/>
      <c r="J6" s="3" t="s">
        <v>671</v>
      </c>
      <c r="K6" s="3" t="s">
        <v>672</v>
      </c>
      <c r="L6" s="4" t="n">
        <f aca="false">SUMIFS(Extrato_Limpo!D:D,Extrato_Limpo!G:G,"Receita de Cliente",Extrato_Limpo!B:B,"*EPSILON DATA*")</f>
        <v>1249542.41</v>
      </c>
    </row>
    <row r="7" customFormat="false" ht="15" hidden="false" customHeight="false" outlineLevel="0" collapsed="false">
      <c r="A7" s="8" t="s">
        <v>654</v>
      </c>
      <c r="B7" s="8" t="s">
        <v>561</v>
      </c>
      <c r="C7" s="8" t="s">
        <v>673</v>
      </c>
      <c r="D7" s="20" t="n">
        <v>7500</v>
      </c>
      <c r="E7" s="21" t="n">
        <v>45996</v>
      </c>
      <c r="F7" s="8" t="s">
        <v>656</v>
      </c>
      <c r="G7" s="8" t="n">
        <v>26</v>
      </c>
      <c r="H7" s="8" t="s">
        <v>242</v>
      </c>
      <c r="I7" s="8" t="s">
        <v>674</v>
      </c>
      <c r="J7" s="8" t="s">
        <v>675</v>
      </c>
      <c r="K7" s="8" t="s">
        <v>659</v>
      </c>
      <c r="L7" s="20" t="n">
        <v>0</v>
      </c>
    </row>
    <row r="8" customFormat="false" ht="15" hidden="false" customHeight="false" outlineLevel="0" collapsed="false">
      <c r="A8" s="3" t="s">
        <v>654</v>
      </c>
      <c r="B8" s="3" t="s">
        <v>310</v>
      </c>
      <c r="C8" s="3" t="s">
        <v>676</v>
      </c>
      <c r="D8" s="4" t="n">
        <v>15000</v>
      </c>
      <c r="E8" s="2" t="n">
        <v>45991</v>
      </c>
      <c r="F8" s="3" t="s">
        <v>656</v>
      </c>
      <c r="G8" s="3" t="n">
        <v>31</v>
      </c>
      <c r="H8" s="3" t="s">
        <v>242</v>
      </c>
      <c r="I8" s="3" t="s">
        <v>677</v>
      </c>
      <c r="J8" s="3" t="s">
        <v>678</v>
      </c>
      <c r="K8" s="3" t="s">
        <v>669</v>
      </c>
      <c r="L8" s="4" t="n">
        <f aca="false">SUMIFS(Extrato_Limpo!D:D,Extrato_Limpo!G:G,"Receita de Cliente",Extrato_Limpo!B:B,"*GAMMA DIGITAL*")</f>
        <v>321814.66</v>
      </c>
    </row>
    <row r="9" customFormat="false" ht="15" hidden="false" customHeight="false" outlineLevel="0" collapsed="false">
      <c r="A9" s="0" t="s">
        <v>679</v>
      </c>
      <c r="B9" s="0" t="s">
        <v>330</v>
      </c>
      <c r="C9" s="0" t="s">
        <v>680</v>
      </c>
      <c r="D9" s="6" t="n">
        <v>95000</v>
      </c>
      <c r="E9" s="5" t="n">
        <v>46027</v>
      </c>
      <c r="F9" s="0" t="s">
        <v>667</v>
      </c>
      <c r="G9" s="0" t="n">
        <v>0</v>
      </c>
      <c r="H9" s="0" t="s">
        <v>236</v>
      </c>
      <c r="I9" s="0" t="s">
        <v>681</v>
      </c>
      <c r="J9" s="0" t="s">
        <v>682</v>
      </c>
      <c r="K9" s="0" t="s">
        <v>669</v>
      </c>
    </row>
    <row r="10" customFormat="false" ht="15" hidden="false" customHeight="false" outlineLevel="0" collapsed="false">
      <c r="A10" s="3" t="s">
        <v>679</v>
      </c>
      <c r="B10" s="3" t="s">
        <v>275</v>
      </c>
      <c r="C10" s="3" t="s">
        <v>683</v>
      </c>
      <c r="D10" s="4" t="n">
        <v>32000</v>
      </c>
      <c r="E10" s="2" t="n">
        <v>46032</v>
      </c>
      <c r="F10" s="3" t="s">
        <v>667</v>
      </c>
      <c r="G10" s="3" t="n">
        <v>0</v>
      </c>
      <c r="H10" s="3" t="s">
        <v>236</v>
      </c>
      <c r="I10" s="3"/>
      <c r="J10" s="3" t="s">
        <v>684</v>
      </c>
      <c r="K10" s="3" t="s">
        <v>672</v>
      </c>
      <c r="L10" s="3"/>
    </row>
    <row r="11" customFormat="false" ht="15" hidden="false" customHeight="false" outlineLevel="0" collapsed="false">
      <c r="A11" s="0" t="s">
        <v>679</v>
      </c>
      <c r="B11" s="0" t="s">
        <v>334</v>
      </c>
      <c r="C11" s="0" t="s">
        <v>685</v>
      </c>
      <c r="D11" s="6" t="n">
        <v>15000</v>
      </c>
      <c r="E11" s="5" t="n">
        <v>46027</v>
      </c>
      <c r="F11" s="0" t="s">
        <v>667</v>
      </c>
      <c r="G11" s="0" t="n">
        <v>0</v>
      </c>
      <c r="H11" s="0" t="s">
        <v>323</v>
      </c>
      <c r="J11" s="0" t="s">
        <v>686</v>
      </c>
      <c r="K11" s="0" t="s">
        <v>672</v>
      </c>
    </row>
    <row r="12" customFormat="false" ht="15" hidden="false" customHeight="false" outlineLevel="0" collapsed="false">
      <c r="A12" s="3" t="s">
        <v>679</v>
      </c>
      <c r="B12" s="3" t="s">
        <v>380</v>
      </c>
      <c r="C12" s="3" t="s">
        <v>687</v>
      </c>
      <c r="D12" s="4" t="n">
        <v>28000</v>
      </c>
      <c r="E12" s="2" t="n">
        <v>46032</v>
      </c>
      <c r="F12" s="3" t="s">
        <v>667</v>
      </c>
      <c r="G12" s="3" t="n">
        <v>0</v>
      </c>
      <c r="H12" s="3" t="s">
        <v>43</v>
      </c>
      <c r="I12" s="3"/>
      <c r="J12" s="3" t="s">
        <v>686</v>
      </c>
      <c r="K12" s="3" t="s">
        <v>672</v>
      </c>
      <c r="L12" s="3"/>
    </row>
    <row r="13" customFormat="false" ht="15" hidden="false" customHeight="false" outlineLevel="0" collapsed="false">
      <c r="A13" s="7" t="s">
        <v>679</v>
      </c>
      <c r="B13" s="7" t="s">
        <v>288</v>
      </c>
      <c r="C13" s="7" t="s">
        <v>688</v>
      </c>
      <c r="D13" s="13" t="n">
        <v>18000</v>
      </c>
      <c r="E13" s="22" t="n">
        <v>46006</v>
      </c>
      <c r="F13" s="7" t="s">
        <v>656</v>
      </c>
      <c r="G13" s="7" t="n">
        <v>16</v>
      </c>
      <c r="H13" s="7" t="s">
        <v>304</v>
      </c>
      <c r="I13" s="7" t="s">
        <v>689</v>
      </c>
      <c r="J13" s="7" t="s">
        <v>690</v>
      </c>
      <c r="K13" s="7" t="s">
        <v>659</v>
      </c>
      <c r="L13" s="7"/>
    </row>
    <row r="14" customFormat="false" ht="15" hidden="false" customHeight="false" outlineLevel="0" collapsed="false">
      <c r="A14" s="3" t="s">
        <v>679</v>
      </c>
      <c r="B14" s="3" t="s">
        <v>337</v>
      </c>
      <c r="C14" s="3" t="s">
        <v>691</v>
      </c>
      <c r="D14" s="4" t="n">
        <v>12000</v>
      </c>
      <c r="E14" s="2" t="n">
        <v>45991</v>
      </c>
      <c r="F14" s="3" t="s">
        <v>656</v>
      </c>
      <c r="G14" s="3" t="n">
        <v>31</v>
      </c>
      <c r="H14" s="3" t="s">
        <v>292</v>
      </c>
      <c r="I14" s="3" t="s">
        <v>692</v>
      </c>
      <c r="J14" s="3" t="s">
        <v>693</v>
      </c>
      <c r="K14" s="3" t="s">
        <v>669</v>
      </c>
      <c r="L14" s="3"/>
    </row>
    <row r="15" customFormat="false" ht="15" hidden="false" customHeight="false" outlineLevel="0" collapsed="false">
      <c r="A15" s="7" t="s">
        <v>679</v>
      </c>
      <c r="B15" s="7" t="s">
        <v>306</v>
      </c>
      <c r="C15" s="7" t="s">
        <v>694</v>
      </c>
      <c r="D15" s="13" t="n">
        <v>36000</v>
      </c>
      <c r="E15" s="22" t="n">
        <v>46011</v>
      </c>
      <c r="F15" s="7" t="s">
        <v>656</v>
      </c>
      <c r="G15" s="7" t="n">
        <v>11</v>
      </c>
      <c r="H15" s="7" t="s">
        <v>323</v>
      </c>
      <c r="I15" s="7" t="s">
        <v>695</v>
      </c>
      <c r="J15" s="7" t="s">
        <v>696</v>
      </c>
      <c r="K15" s="7" t="s">
        <v>659</v>
      </c>
      <c r="L15" s="7"/>
    </row>
    <row r="16" customFormat="false" ht="15" hidden="false" customHeight="false" outlineLevel="0" collapsed="false">
      <c r="A16" s="3" t="s">
        <v>679</v>
      </c>
      <c r="B16" s="3" t="s">
        <v>697</v>
      </c>
      <c r="C16" s="3" t="s">
        <v>698</v>
      </c>
      <c r="D16" s="4" t="n">
        <v>31237</v>
      </c>
      <c r="E16" s="2" t="n">
        <v>46042</v>
      </c>
      <c r="F16" s="3" t="s">
        <v>667</v>
      </c>
      <c r="G16" s="3" t="n">
        <v>0</v>
      </c>
      <c r="H16" s="3" t="s">
        <v>323</v>
      </c>
      <c r="I16" s="3"/>
      <c r="J16" s="3" t="s">
        <v>699</v>
      </c>
      <c r="K16" s="3" t="s">
        <v>669</v>
      </c>
      <c r="L16" s="3"/>
    </row>
    <row r="17" customFormat="false" ht="15" hidden="false" customHeight="false" outlineLevel="0" collapsed="false">
      <c r="A17" s="0" t="s">
        <v>679</v>
      </c>
      <c r="B17" s="0" t="s">
        <v>700</v>
      </c>
      <c r="C17" s="0" t="s">
        <v>701</v>
      </c>
      <c r="D17" s="6" t="n">
        <v>97500</v>
      </c>
      <c r="E17" s="5" t="n">
        <v>46011</v>
      </c>
      <c r="F17" s="0" t="s">
        <v>702</v>
      </c>
      <c r="G17" s="0" t="n">
        <v>0</v>
      </c>
      <c r="H17" s="0" t="s">
        <v>49</v>
      </c>
      <c r="I17" s="0" t="s">
        <v>703</v>
      </c>
      <c r="J17" s="0" t="s">
        <v>704</v>
      </c>
      <c r="K17" s="0" t="s">
        <v>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24" hidden="false" customHeight="true" outlineLevel="0" collapsed="false">
      <c r="A1" s="23" t="s">
        <v>705</v>
      </c>
      <c r="B1" s="23"/>
      <c r="C1" s="23"/>
      <c r="D1" s="23"/>
      <c r="E1" s="23"/>
    </row>
    <row r="2" customFormat="false" ht="15" hidden="false" customHeight="false" outlineLevel="0" collapsed="false">
      <c r="A2" s="24"/>
      <c r="B2" s="24" t="s">
        <v>706</v>
      </c>
      <c r="C2" s="24" t="s">
        <v>707</v>
      </c>
      <c r="D2" s="24" t="s">
        <v>708</v>
      </c>
      <c r="E2" s="24" t="s">
        <v>709</v>
      </c>
    </row>
    <row r="3" customFormat="false" ht="15" hidden="false" customHeight="false" outlineLevel="0" collapsed="false">
      <c r="A3" s="3" t="s">
        <v>710</v>
      </c>
      <c r="B3" s="4" t="n">
        <v>442000</v>
      </c>
      <c r="C3" s="4" t="n">
        <f aca="false">DRE_Corrigida!B3</f>
        <v>4432710.55</v>
      </c>
      <c r="D3" s="4" t="n">
        <f aca="false">C3-B3</f>
        <v>3990710.55</v>
      </c>
      <c r="E3" s="25" t="n">
        <f aca="false">IF(B3=0,"N/A",C3/B3)</f>
        <v>10.0287569004525</v>
      </c>
    </row>
    <row r="4" customFormat="false" ht="15" hidden="false" customHeight="false" outlineLevel="0" collapsed="false">
      <c r="A4" s="0" t="s">
        <v>711</v>
      </c>
      <c r="B4" s="6" t="n">
        <v>435500</v>
      </c>
      <c r="C4" s="6" t="n">
        <f aca="false">DRE_Corrigida!C3</f>
        <v>3956495.73</v>
      </c>
      <c r="D4" s="6" t="n">
        <f aca="false">C4-B4</f>
        <v>3520995.73</v>
      </c>
      <c r="E4" s="26" t="n">
        <f aca="false">IF(B4=0,"N/A",C4/B4)</f>
        <v>9.08495001148106</v>
      </c>
    </row>
    <row r="5" customFormat="false" ht="15" hidden="false" customHeight="false" outlineLevel="0" collapsed="false">
      <c r="A5" s="3" t="s">
        <v>712</v>
      </c>
      <c r="B5" s="4" t="n">
        <v>416500</v>
      </c>
      <c r="C5" s="4" t="n">
        <f aca="false">DRE_Corrigida!D3</f>
        <v>2309191.53</v>
      </c>
      <c r="D5" s="4" t="n">
        <f aca="false">C5-B5</f>
        <v>1892691.53</v>
      </c>
      <c r="E5" s="25" t="n">
        <f aca="false">IF(B5=0,"N/A",C5/B5)</f>
        <v>5.54427738295318</v>
      </c>
    </row>
    <row r="6" customFormat="false" ht="15" hidden="false" customHeight="false" outlineLevel="0" collapsed="false">
      <c r="A6" s="0" t="s">
        <v>713</v>
      </c>
      <c r="B6" s="6" t="n">
        <v>1294000</v>
      </c>
      <c r="C6" s="6" t="n">
        <f aca="false">DRE_Corrigida!E3</f>
        <v>10698397.81</v>
      </c>
      <c r="D6" s="6" t="n">
        <f aca="false">C6-B6</f>
        <v>9404397.81</v>
      </c>
      <c r="E6" s="26" t="n">
        <f aca="false">IF(B6=0,"N/A",C6/B6)</f>
        <v>8.26769537094281</v>
      </c>
    </row>
    <row r="9" customFormat="false" ht="24" hidden="false" customHeight="true" outlineLevel="0" collapsed="false">
      <c r="A9" s="23" t="s">
        <v>714</v>
      </c>
      <c r="B9" s="23"/>
      <c r="C9" s="23"/>
      <c r="D9" s="23"/>
      <c r="E9" s="23"/>
    </row>
    <row r="10" customFormat="false" ht="15" hidden="false" customHeight="false" outlineLevel="0" collapsed="false">
      <c r="A10" s="3" t="s">
        <v>715</v>
      </c>
      <c r="B10" s="4" t="n">
        <f aca="false">Caixa_Corrigido!B3</f>
        <v>2850000</v>
      </c>
      <c r="C10" s="3"/>
    </row>
    <row r="11" customFormat="false" ht="15" hidden="false" customHeight="false" outlineLevel="0" collapsed="false">
      <c r="A11" s="0" t="s">
        <v>716</v>
      </c>
      <c r="B11" s="6" t="n">
        <f aca="false">Caixa_Corrigido!D15</f>
        <v>12275346.8</v>
      </c>
    </row>
    <row r="12" customFormat="false" ht="15" hidden="false" customHeight="false" outlineLevel="0" collapsed="false">
      <c r="A12" s="3" t="s">
        <v>717</v>
      </c>
      <c r="B12" s="4" t="n">
        <f aca="false">Caixa_Corrigido!B5+Caixa_Corrigido!C5+Caixa_Corrigido!D5</f>
        <v>10500044.09</v>
      </c>
      <c r="C12" s="3"/>
    </row>
    <row r="13" customFormat="false" ht="15" hidden="false" customHeight="false" outlineLevel="0" collapsed="false">
      <c r="A13" s="0" t="s">
        <v>718</v>
      </c>
      <c r="B13" s="6" t="n">
        <f aca="false">Caixa_Corrigido!B6+Caixa_Corrigido!C6+Caixa_Corrigido!D6</f>
        <v>-4105012.9</v>
      </c>
    </row>
    <row r="14" customFormat="false" ht="15" hidden="false" customHeight="false" outlineLevel="0" collapsed="false">
      <c r="A14" s="3" t="s">
        <v>719</v>
      </c>
      <c r="B14" s="4" t="n">
        <f aca="false">Caixa_Corrigido!B9+Caixa_Corrigido!C9+Caixa_Corrigido!D9</f>
        <v>3000000</v>
      </c>
      <c r="C14" s="3"/>
    </row>
    <row r="15" customFormat="false" ht="15" hidden="false" customHeight="false" outlineLevel="0" collapsed="false">
      <c r="A15" s="0" t="s">
        <v>720</v>
      </c>
      <c r="B15" s="6" t="n">
        <f aca="false">AVERAGE(Caixa_Corrigido!B17:D17)</f>
        <v>-3141782.26666667</v>
      </c>
    </row>
    <row r="16" customFormat="false" ht="15" hidden="false" customHeight="false" outlineLevel="0" collapsed="false">
      <c r="A16" s="3" t="s">
        <v>721</v>
      </c>
      <c r="B16" s="4" t="str">
        <f aca="false">Caixa_Corrigido!D18</f>
        <v>N/A</v>
      </c>
      <c r="C16" s="3"/>
    </row>
    <row r="19" customFormat="false" ht="24" hidden="false" customHeight="true" outlineLevel="0" collapsed="false">
      <c r="A19" s="23" t="s">
        <v>722</v>
      </c>
      <c r="B19" s="23"/>
      <c r="C19" s="23"/>
      <c r="D19" s="23"/>
      <c r="E19" s="23"/>
    </row>
    <row r="20" customFormat="false" ht="15" hidden="false" customHeight="false" outlineLevel="0" collapsed="false">
      <c r="A20" s="3" t="s">
        <v>723</v>
      </c>
      <c r="B20" s="27" t="n">
        <f aca="false">COUNTIF(ERP_Limpo!M:M,"DUPLICADA")</f>
        <v>47</v>
      </c>
      <c r="C20" s="28" t="s">
        <v>724</v>
      </c>
    </row>
    <row r="21" customFormat="false" ht="15" hidden="false" customHeight="false" outlineLevel="0" collapsed="false">
      <c r="A21" s="0" t="s">
        <v>725</v>
      </c>
      <c r="B21" s="27" t="n">
        <f aca="false">COUNTIF(ERP_Limpo!N:N,"SEM DOCUMENTO")</f>
        <v>34</v>
      </c>
      <c r="C21" s="15" t="s">
        <v>726</v>
      </c>
    </row>
    <row r="22" customFormat="false" ht="15" hidden="false" customHeight="false" outlineLevel="0" collapsed="false">
      <c r="A22" s="3" t="s">
        <v>727</v>
      </c>
      <c r="B22" s="27" t="n">
        <f aca="false">COUNTIF(ERP_Limpo!L:L,"DIVERGENTE")</f>
        <v>85</v>
      </c>
      <c r="C22" s="28" t="s">
        <v>728</v>
      </c>
    </row>
    <row r="23" customFormat="false" ht="15" hidden="false" customHeight="false" outlineLevel="0" collapsed="false">
      <c r="A23" s="0" t="s">
        <v>729</v>
      </c>
      <c r="B23" s="27" t="n">
        <f aca="false">COUNTIFS(ERP_Limpo!I:I,"&lt;&gt;Conciliado",ERP_Limpo!A:A,"&lt;&gt;")</f>
        <v>105</v>
      </c>
      <c r="C23" s="15" t="s">
        <v>730</v>
      </c>
    </row>
    <row r="24" customFormat="false" ht="15" hidden="false" customHeight="false" outlineLevel="0" collapsed="false">
      <c r="A24" s="3" t="s">
        <v>731</v>
      </c>
      <c r="B24" s="29" t="n">
        <f aca="false">SUMIFS(AP_AR_Anotado!D:D,AP_AR_Anotado!A:A,"AR",AP_AR_Anotado!F:F,"Vencida")</f>
        <v>97500</v>
      </c>
      <c r="C24" s="28" t="s">
        <v>732</v>
      </c>
    </row>
    <row r="25" customFormat="false" ht="15" hidden="false" customHeight="false" outlineLevel="0" collapsed="false">
      <c r="A25" s="0" t="s">
        <v>733</v>
      </c>
      <c r="B25" s="29" t="n">
        <f aca="false">SUMIFS(AP_AR_Anotado!D:D,AP_AR_Anotado!A:A,"AP",AP_AR_Anotado!F:F,"Vencida")</f>
        <v>66000</v>
      </c>
      <c r="C25" s="15" t="s">
        <v>734</v>
      </c>
    </row>
    <row r="26" customFormat="false" ht="23.85" hidden="false" customHeight="false" outlineLevel="0" collapsed="false">
      <c r="A26" s="3" t="s">
        <v>735</v>
      </c>
      <c r="B26" s="7" t="n">
        <v>6</v>
      </c>
      <c r="C26" s="28" t="s">
        <v>736</v>
      </c>
    </row>
  </sheetData>
  <mergeCells count="3">
    <mergeCell ref="A1:E1"/>
    <mergeCell ref="A9:E9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2026-04-22T01:01:41Z</dcterms:created>
  <dc:creator>openpyxl</dc:creator>
  <dc:description/>
  <dc:language>en-US</dc:language>
  <cp:lastModifiedBy/>
  <dcterms:modified xsi:type="dcterms:W3CDTF">2026-04-22T01:01:41Z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