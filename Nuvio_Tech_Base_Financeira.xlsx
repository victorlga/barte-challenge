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edrocastro/Downloads/"/>
    </mc:Choice>
  </mc:AlternateContent>
  <xr:revisionPtr revIDLastSave="0" documentId="8_{953F2306-AA56-EF4E-AB35-B30AE6D91D7C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Extrato_Bancario" sheetId="1" r:id="rId1"/>
    <sheet name="Lancamentos_ERP" sheetId="2" r:id="rId2"/>
    <sheet name="Receita_Clientes" sheetId="3" r:id="rId3"/>
    <sheet name="DRE_Gerencial" sheetId="4" r:id="rId4"/>
    <sheet name="AP_AR" sheetId="5" r:id="rId5"/>
    <sheet name="Caixa_Runwa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6" l="1"/>
  <c r="E10" i="6"/>
  <c r="E9" i="6"/>
  <c r="D7" i="6"/>
  <c r="D13" i="6" s="1"/>
  <c r="D16" i="6" s="1"/>
  <c r="C7" i="6"/>
  <c r="C13" i="6" s="1"/>
  <c r="C16" i="6" s="1"/>
  <c r="C17" i="6" s="1"/>
  <c r="B7" i="6"/>
  <c r="B13" i="6" s="1"/>
  <c r="E6" i="6"/>
  <c r="E5" i="6"/>
  <c r="E39" i="4"/>
  <c r="D36" i="4"/>
  <c r="C36" i="4"/>
  <c r="B36" i="4"/>
  <c r="E35" i="4"/>
  <c r="E34" i="4"/>
  <c r="E31" i="4"/>
  <c r="D26" i="4"/>
  <c r="E26" i="4" s="1"/>
  <c r="C26" i="4"/>
  <c r="B26" i="4"/>
  <c r="E25" i="4"/>
  <c r="E24" i="4"/>
  <c r="E23" i="4"/>
  <c r="E22" i="4"/>
  <c r="E21" i="4"/>
  <c r="E20" i="4"/>
  <c r="E19" i="4"/>
  <c r="E18" i="4"/>
  <c r="E17" i="4"/>
  <c r="D13" i="4"/>
  <c r="D14" i="4" s="1"/>
  <c r="E12" i="4"/>
  <c r="E11" i="4"/>
  <c r="E10" i="4"/>
  <c r="D7" i="4"/>
  <c r="C7" i="4"/>
  <c r="B7" i="4"/>
  <c r="B13" i="4" s="1"/>
  <c r="B14" i="4" s="1"/>
  <c r="E6" i="4"/>
  <c r="E5" i="4"/>
  <c r="E4" i="4"/>
  <c r="F19" i="3"/>
  <c r="E19" i="3"/>
  <c r="D19" i="3"/>
  <c r="C19" i="3"/>
  <c r="E7" i="4" l="1"/>
  <c r="E36" i="4"/>
  <c r="B14" i="6"/>
  <c r="E13" i="6"/>
  <c r="B16" i="6"/>
  <c r="E7" i="6"/>
  <c r="C13" i="4"/>
  <c r="C28" i="4" s="1"/>
  <c r="C32" i="4" s="1"/>
  <c r="C38" i="4" s="1"/>
  <c r="C40" i="4" s="1"/>
  <c r="C41" i="4" s="1"/>
  <c r="B28" i="4"/>
  <c r="D28" i="4"/>
  <c r="D32" i="4" s="1"/>
  <c r="D38" i="4" s="1"/>
  <c r="D40" i="4" s="1"/>
  <c r="D41" i="4" s="1"/>
  <c r="B29" i="4"/>
  <c r="E13" i="4" l="1"/>
  <c r="E14" i="4" s="1"/>
  <c r="C29" i="4"/>
  <c r="C14" i="4"/>
  <c r="C4" i="6"/>
  <c r="C14" i="6" s="1"/>
  <c r="D4" i="6" s="1"/>
  <c r="D14" i="6" s="1"/>
  <c r="D17" i="6" s="1"/>
  <c r="E14" i="6"/>
  <c r="E28" i="4"/>
  <c r="E29" i="4" s="1"/>
  <c r="B32" i="4"/>
  <c r="B17" i="6"/>
  <c r="E16" i="6"/>
  <c r="E17" i="6" s="1"/>
  <c r="D29" i="4"/>
  <c r="E32" i="4" l="1"/>
  <c r="B38" i="4"/>
  <c r="B40" i="4" l="1"/>
  <c r="E38" i="4"/>
  <c r="E40" i="4" l="1"/>
  <c r="E41" i="4" s="1"/>
  <c r="B41" i="4"/>
</calcChain>
</file>

<file path=xl/sharedStrings.xml><?xml version="1.0" encoding="utf-8"?>
<sst xmlns="http://schemas.openxmlformats.org/spreadsheetml/2006/main" count="2332" uniqueCount="629">
  <si>
    <t>Data</t>
  </si>
  <si>
    <t>Descrição</t>
  </si>
  <si>
    <t>Tipo</t>
  </si>
  <si>
    <t>Valor (R$)</t>
  </si>
  <si>
    <t>Saldo (R$)</t>
  </si>
  <si>
    <t>Ref. Interna</t>
  </si>
  <si>
    <t>Banco</t>
  </si>
  <si>
    <t>ENERGIA ELÉTRICA ESCRITÓRIO</t>
  </si>
  <si>
    <t>TED Enviada</t>
  </si>
  <si>
    <t>Itaú</t>
  </si>
  <si>
    <t>SEGURO EMPRESARIAL</t>
  </si>
  <si>
    <t>Débito Automático</t>
  </si>
  <si>
    <t>REF-47056</t>
  </si>
  <si>
    <t>BTG</t>
  </si>
  <si>
    <t>Boleto Pago</t>
  </si>
  <si>
    <t>AWS SERVICES - INFRAESTRUTURA</t>
  </si>
  <si>
    <t>REF-32962</t>
  </si>
  <si>
    <t>VIAGEM SP-BH EQUIPE COMERCIAL</t>
  </si>
  <si>
    <t>MATERIAL ESCRITÓRIO</t>
  </si>
  <si>
    <t>Tarifa Bancária</t>
  </si>
  <si>
    <t>REF-11792</t>
  </si>
  <si>
    <t>Inter</t>
  </si>
  <si>
    <t>REF-84341</t>
  </si>
  <si>
    <t>RENDIMENTO APLICAÇÃO CDB</t>
  </si>
  <si>
    <t>PIX Recebido</t>
  </si>
  <si>
    <t>REF-27987</t>
  </si>
  <si>
    <t>PIX Enviado</t>
  </si>
  <si>
    <t>REF-40982</t>
  </si>
  <si>
    <t>PGTO FREELANCER DEV - PJ</t>
  </si>
  <si>
    <t>REF-20500</t>
  </si>
  <si>
    <t>PLANO SAÚDE EQUIPE</t>
  </si>
  <si>
    <t>CLIENTE ALPHA TECH LTDA - NF 1042</t>
  </si>
  <si>
    <t>REF-73532</t>
  </si>
  <si>
    <t>REF-84668</t>
  </si>
  <si>
    <t>SALÁRIOS E ENCARGOS - FOLHA</t>
  </si>
  <si>
    <t>SLACK - LICENÇA ENTERPRISE</t>
  </si>
  <si>
    <t>REF-65723</t>
  </si>
  <si>
    <t>REF-93507</t>
  </si>
  <si>
    <t>TRANSFERÊNCIA PARA CONTA RESERVA</t>
  </si>
  <si>
    <t>Transferência Interna</t>
  </si>
  <si>
    <t>REF-27054</t>
  </si>
  <si>
    <t>GITHUB ENTERPRISE</t>
  </si>
  <si>
    <t>REF-97841</t>
  </si>
  <si>
    <t>IMPOSTOS DAS/SIMPLES</t>
  </si>
  <si>
    <t>REF-84177</t>
  </si>
  <si>
    <t>TED Recebida</t>
  </si>
  <si>
    <t>REF-96275</t>
  </si>
  <si>
    <t>REF-20322</t>
  </si>
  <si>
    <t>REF-98647</t>
  </si>
  <si>
    <t>CLIENTE BETA SAAS S.A. - NF 1038</t>
  </si>
  <si>
    <t>REF-79066</t>
  </si>
  <si>
    <t>ESTORNO COBRANÇA INDEVIDA</t>
  </si>
  <si>
    <t>Estorno</t>
  </si>
  <si>
    <t>REF-26614</t>
  </si>
  <si>
    <t>CLIENTE THETA LABS - NF 1070</t>
  </si>
  <si>
    <t>Crédito Investimento</t>
  </si>
  <si>
    <t>REF-88301</t>
  </si>
  <si>
    <t>REF-68008</t>
  </si>
  <si>
    <t>REEMBOLSO VIAGEM CONF TECH</t>
  </si>
  <si>
    <t>REF-64377</t>
  </si>
  <si>
    <t>HUBSPOT - LICENÇA MENSAL</t>
  </si>
  <si>
    <t>REF-69598</t>
  </si>
  <si>
    <t>CLIENTE DELTA CLOUD - NF 1055</t>
  </si>
  <si>
    <t>REF-51104</t>
  </si>
  <si>
    <t>REF-22240</t>
  </si>
  <si>
    <t>ALUGUEL COWORKING BERRINI</t>
  </si>
  <si>
    <t>REF-36071</t>
  </si>
  <si>
    <t>REF-63964</t>
  </si>
  <si>
    <t>REF-51114</t>
  </si>
  <si>
    <t>REF-73372</t>
  </si>
  <si>
    <t>CLIENTE KAPPA PAY - NF 1080</t>
  </si>
  <si>
    <t>REF-86435</t>
  </si>
  <si>
    <t>REF-82132</t>
  </si>
  <si>
    <t>REF-28776</t>
  </si>
  <si>
    <t>REF-64987</t>
  </si>
  <si>
    <t>PGTO FORNECEDOR DESIGN</t>
  </si>
  <si>
    <t>REF-88116</t>
  </si>
  <si>
    <t>REF-64524</t>
  </si>
  <si>
    <t>REF-10942</t>
  </si>
  <si>
    <t>ANTECIPAÇÃO RECEBÍVEIS</t>
  </si>
  <si>
    <t>REF-39831</t>
  </si>
  <si>
    <t>CLIENTE IOTA SYSTEMS - NF 1075</t>
  </si>
  <si>
    <t>REF-25906</t>
  </si>
  <si>
    <t>DATADOG - MONITORAMENTO</t>
  </si>
  <si>
    <t>REF-23173</t>
  </si>
  <si>
    <t>CLIENTE ZETA AI - NF 1063</t>
  </si>
  <si>
    <t>REF-84847</t>
  </si>
  <si>
    <t>REF-43586</t>
  </si>
  <si>
    <t>REF-23970</t>
  </si>
  <si>
    <t>REF-27892</t>
  </si>
  <si>
    <t>REF-37152</t>
  </si>
  <si>
    <t>REF-94717</t>
  </si>
  <si>
    <t>REF-36365</t>
  </si>
  <si>
    <t>REF-82845</t>
  </si>
  <si>
    <t>REF-98039</t>
  </si>
  <si>
    <t>REF-89276</t>
  </si>
  <si>
    <t>REF-92149</t>
  </si>
  <si>
    <t>NOTION - LICENÇA TEAM</t>
  </si>
  <si>
    <t>REF-38255</t>
  </si>
  <si>
    <t>REF-80798</t>
  </si>
  <si>
    <t>REF-10336</t>
  </si>
  <si>
    <t>REF-89482</t>
  </si>
  <si>
    <t>CLIENTE EPSILON DATA - NF 1060</t>
  </si>
  <si>
    <t>REF-57537</t>
  </si>
  <si>
    <t>REF-24408</t>
  </si>
  <si>
    <t>REF-95717</t>
  </si>
  <si>
    <t>REF-87014</t>
  </si>
  <si>
    <t>REF-34920</t>
  </si>
  <si>
    <t>REF-44522</t>
  </si>
  <si>
    <t>CLIENTE GAMMA DIGITAL - NF 1051</t>
  </si>
  <si>
    <t>REF-45954</t>
  </si>
  <si>
    <t>REF-95814</t>
  </si>
  <si>
    <t>REF-73483</t>
  </si>
  <si>
    <t>REF-65872</t>
  </si>
  <si>
    <t>REF-87607</t>
  </si>
  <si>
    <t>GOOGLE CLOUD PLATFORM</t>
  </si>
  <si>
    <t>REF-49857</t>
  </si>
  <si>
    <t>REF-73464</t>
  </si>
  <si>
    <t>REF-10150</t>
  </si>
  <si>
    <t>REF-72163</t>
  </si>
  <si>
    <t>REF-59695</t>
  </si>
  <si>
    <t>REF-88139</t>
  </si>
  <si>
    <t>REF-85392</t>
  </si>
  <si>
    <t>REF-57953</t>
  </si>
  <si>
    <t>REF-86556</t>
  </si>
  <si>
    <t>REF-34727</t>
  </si>
  <si>
    <t>REF-44671</t>
  </si>
  <si>
    <t>REF-91560</t>
  </si>
  <si>
    <t>REF-43065</t>
  </si>
  <si>
    <t>REF-11658</t>
  </si>
  <si>
    <t>REF-22899</t>
  </si>
  <si>
    <t>REF-23473</t>
  </si>
  <si>
    <t>REF-74042</t>
  </si>
  <si>
    <t>REF-33600</t>
  </si>
  <si>
    <t>INVESTIDOR SERIES A - APORTE</t>
  </si>
  <si>
    <t>REF-83526</t>
  </si>
  <si>
    <t>REF-25860</t>
  </si>
  <si>
    <t>REF-28373</t>
  </si>
  <si>
    <t>REF-55056</t>
  </si>
  <si>
    <t>TARIFA MANUTENÇÃO CONTA</t>
  </si>
  <si>
    <t>REF-10282</t>
  </si>
  <si>
    <t>REF-54375</t>
  </si>
  <si>
    <t>REF-21359</t>
  </si>
  <si>
    <t>REF-30379</t>
  </si>
  <si>
    <t>REF-13761</t>
  </si>
  <si>
    <t>REF-96363</t>
  </si>
  <si>
    <t>REF-91070</t>
  </si>
  <si>
    <t>REF-23104</t>
  </si>
  <si>
    <t>REF-74799</t>
  </si>
  <si>
    <t>REF-84395</t>
  </si>
  <si>
    <t>REF-17331</t>
  </si>
  <si>
    <t>REF-91973</t>
  </si>
  <si>
    <t>REF-95215</t>
  </si>
  <si>
    <t>ADVOGADOS ASSOCIADOS - HONORÁRIOS</t>
  </si>
  <si>
    <t>REF-72616</t>
  </si>
  <si>
    <t>REF-53228</t>
  </si>
  <si>
    <t>REF-82063</t>
  </si>
  <si>
    <t>REF-30052</t>
  </si>
  <si>
    <t>REF-29442</t>
  </si>
  <si>
    <t>REF-99192</t>
  </si>
  <si>
    <t>REF-73242</t>
  </si>
  <si>
    <t>REF-72216</t>
  </si>
  <si>
    <t>REF-48684</t>
  </si>
  <si>
    <t>REF-74451</t>
  </si>
  <si>
    <t>REF-87812</t>
  </si>
  <si>
    <t>REF-28131</t>
  </si>
  <si>
    <t>REF-42018</t>
  </si>
  <si>
    <t>REF-80804</t>
  </si>
  <si>
    <t>REF-15482</t>
  </si>
  <si>
    <t>REF-13804</t>
  </si>
  <si>
    <t>REF-25814</t>
  </si>
  <si>
    <t>REF-41029</t>
  </si>
  <si>
    <t>REF-82768</t>
  </si>
  <si>
    <t>REF-89471</t>
  </si>
  <si>
    <t>REF-20458</t>
  </si>
  <si>
    <t>REF-64921</t>
  </si>
  <si>
    <t>REF-59968</t>
  </si>
  <si>
    <t>REF-78522</t>
  </si>
  <si>
    <t>REF-77000</t>
  </si>
  <si>
    <t>REF-12011</t>
  </si>
  <si>
    <t>REF-90694</t>
  </si>
  <si>
    <t>REF-82512</t>
  </si>
  <si>
    <t>REF-15817</t>
  </si>
  <si>
    <t>REF-37549</t>
  </si>
  <si>
    <t>REF-45054</t>
  </si>
  <si>
    <t>REF-50538</t>
  </si>
  <si>
    <t>REF-87139</t>
  </si>
  <si>
    <t>REF-19838</t>
  </si>
  <si>
    <t>REF-60422</t>
  </si>
  <si>
    <t>REF-63516</t>
  </si>
  <si>
    <t>REF-59308</t>
  </si>
  <si>
    <t>REF-56090</t>
  </si>
  <si>
    <t>REF-90120</t>
  </si>
  <si>
    <t>REF-58689</t>
  </si>
  <si>
    <t>REF-89964</t>
  </si>
  <si>
    <t>REF-54587</t>
  </si>
  <si>
    <t>REF-26011</t>
  </si>
  <si>
    <t>REF-69614</t>
  </si>
  <si>
    <t>REF-59808</t>
  </si>
  <si>
    <t>REF-42087</t>
  </si>
  <si>
    <t>REF-19287</t>
  </si>
  <si>
    <t>REF-42914</t>
  </si>
  <si>
    <t>Data Lançamento</t>
  </si>
  <si>
    <t>Data Competência</t>
  </si>
  <si>
    <t>Centro de Custo</t>
  </si>
  <si>
    <t>Categoria</t>
  </si>
  <si>
    <t>NF/Doc</t>
  </si>
  <si>
    <t>Status</t>
  </si>
  <si>
    <t>Fornecedor/Cliente</t>
  </si>
  <si>
    <t>Porto Seguro - Viagens</t>
  </si>
  <si>
    <t>Infraestrutura</t>
  </si>
  <si>
    <t>Viagens</t>
  </si>
  <si>
    <t>Despesa</t>
  </si>
  <si>
    <t>DOC-8527</t>
  </si>
  <si>
    <t>Divergente</t>
  </si>
  <si>
    <t>Porto Seguro</t>
  </si>
  <si>
    <t>Kappa Pay - Receita de Consultoria</t>
  </si>
  <si>
    <t>Comercial</t>
  </si>
  <si>
    <t>Receita de Consultoria</t>
  </si>
  <si>
    <t>Receita</t>
  </si>
  <si>
    <t>NF-1074</t>
  </si>
  <si>
    <t>Em Aberto</t>
  </si>
  <si>
    <t>Kappa Pay</t>
  </si>
  <si>
    <t>GitHub - Pessoal</t>
  </si>
  <si>
    <t>Marketing</t>
  </si>
  <si>
    <t>Pessoal</t>
  </si>
  <si>
    <t>DOC-8958</t>
  </si>
  <si>
    <t>Pendente</t>
  </si>
  <si>
    <t>GitHub</t>
  </si>
  <si>
    <t>Kappa Pay - Receita de Setup</t>
  </si>
  <si>
    <t>Receita de Setup</t>
  </si>
  <si>
    <t>NF-1055</t>
  </si>
  <si>
    <t>Alpha Tech - Outras Receitas</t>
  </si>
  <si>
    <t>Outras Receitas</t>
  </si>
  <si>
    <t>NF-1070</t>
  </si>
  <si>
    <t>Alpha Tech</t>
  </si>
  <si>
    <t>Beta SaaS - Receita Recorrente (MRR)</t>
  </si>
  <si>
    <t>Receita Recorrente (MRR)</t>
  </si>
  <si>
    <t>NF-1073</t>
  </si>
  <si>
    <t>Conciliado</t>
  </si>
  <si>
    <t>Beta SaaS</t>
  </si>
  <si>
    <t>Slack - Impostos</t>
  </si>
  <si>
    <t>Impostos</t>
  </si>
  <si>
    <t>Slack</t>
  </si>
  <si>
    <t>Porto Seguro - Freelancers/PJ</t>
  </si>
  <si>
    <t>Freelancers/PJ</t>
  </si>
  <si>
    <t>DOC-6235</t>
  </si>
  <si>
    <t>Google Cloud - Freelancers/PJ</t>
  </si>
  <si>
    <t>Google Cloud</t>
  </si>
  <si>
    <t>ContaAzul - SaaS/Ferramentas</t>
  </si>
  <si>
    <t>CS/Suporte</t>
  </si>
  <si>
    <t>SaaS/Ferramentas</t>
  </si>
  <si>
    <t>DOC-5384</t>
  </si>
  <si>
    <t>ContaAzul</t>
  </si>
  <si>
    <t>Datadog - Benefícios</t>
  </si>
  <si>
    <t>Benefícios</t>
  </si>
  <si>
    <t>DOC-7397</t>
  </si>
  <si>
    <t>Datadog</t>
  </si>
  <si>
    <t>Slack - Benefícios</t>
  </si>
  <si>
    <t>DOC-6423</t>
  </si>
  <si>
    <t>Freelancer A - Pessoal</t>
  </si>
  <si>
    <t>DOC-6982</t>
  </si>
  <si>
    <t>Freelancer A</t>
  </si>
  <si>
    <t>ContaAzul - Infraestrutura Cloud</t>
  </si>
  <si>
    <t>Infraestrutura Cloud</t>
  </si>
  <si>
    <t>DOC-5565</t>
  </si>
  <si>
    <t>Freelancer A - Infraestrutura Cloud</t>
  </si>
  <si>
    <t>Produto</t>
  </si>
  <si>
    <t>DOC-8023</t>
  </si>
  <si>
    <t>Slack - Freelancers/PJ</t>
  </si>
  <si>
    <t>Zeta AI - Receita Recorrente (MRR)</t>
  </si>
  <si>
    <t>NF-1071</t>
  </si>
  <si>
    <t>Zeta AI</t>
  </si>
  <si>
    <t>Freelancer A - Aluguel e Facilities</t>
  </si>
  <si>
    <t>Aluguel e Facilities</t>
  </si>
  <si>
    <t>DOC-8112</t>
  </si>
  <si>
    <t>Delta Cloud - Receita de Consultoria</t>
  </si>
  <si>
    <t>NF-1044</t>
  </si>
  <si>
    <t>Delta Cloud</t>
  </si>
  <si>
    <t>Silva &amp; Advogados - SaaS/Ferramentas</t>
  </si>
  <si>
    <t>Engenharia</t>
  </si>
  <si>
    <t>DOC-6918</t>
  </si>
  <si>
    <t>Silva &amp; Advogados</t>
  </si>
  <si>
    <t>Gamma Digital - Outras Receitas</t>
  </si>
  <si>
    <t>NF-1066</t>
  </si>
  <si>
    <t>Gamma Digital</t>
  </si>
  <si>
    <t>Silva &amp; Advogados - Freelancers/PJ</t>
  </si>
  <si>
    <t>Slack - Aluguel e Facilities</t>
  </si>
  <si>
    <t>DOC-7220</t>
  </si>
  <si>
    <t>Beta SaaS - Receita de Setup</t>
  </si>
  <si>
    <t>NF-1063</t>
  </si>
  <si>
    <t>DOC-7189</t>
  </si>
  <si>
    <t>GitHub - Viagens</t>
  </si>
  <si>
    <t>DOC-6700</t>
  </si>
  <si>
    <t>Porto Seguro - Seguros</t>
  </si>
  <si>
    <t>Seguros</t>
  </si>
  <si>
    <t>DOC-6176</t>
  </si>
  <si>
    <t>HubSpot - Impostos</t>
  </si>
  <si>
    <t>HubSpot</t>
  </si>
  <si>
    <t>G&amp;A</t>
  </si>
  <si>
    <t>DOC-9723</t>
  </si>
  <si>
    <t>Epsilon Data - Receita Recorrente (MRR)</t>
  </si>
  <si>
    <t>NF-1084</t>
  </si>
  <si>
    <t>Epsilon Data</t>
  </si>
  <si>
    <t>AWS - SaaS/Ferramentas</t>
  </si>
  <si>
    <t>DOC-9064</t>
  </si>
  <si>
    <t>AWS</t>
  </si>
  <si>
    <t>Google Cloud - Jurídico e Contabilidade</t>
  </si>
  <si>
    <t>Jurídico e Contabilidade</t>
  </si>
  <si>
    <t>DOC-9306</t>
  </si>
  <si>
    <t>WeWork - Impostos</t>
  </si>
  <si>
    <t>WeWork</t>
  </si>
  <si>
    <t>Freelancer B - Pessoal</t>
  </si>
  <si>
    <t>DOC-9460</t>
  </si>
  <si>
    <t>Freelancer B</t>
  </si>
  <si>
    <t>GitHub - Freelancers/PJ</t>
  </si>
  <si>
    <t>DOC-7201</t>
  </si>
  <si>
    <t>Alpha Tech - Receita de Setup</t>
  </si>
  <si>
    <t>Iota Systems - Receita de Consultoria</t>
  </si>
  <si>
    <t>NF-1067</t>
  </si>
  <si>
    <t>Iota Systems</t>
  </si>
  <si>
    <t>WeWork - Infraestrutura Cloud</t>
  </si>
  <si>
    <t>DOC-5950</t>
  </si>
  <si>
    <t>DOC-5541</t>
  </si>
  <si>
    <t>Google Cloud - Seguros</t>
  </si>
  <si>
    <t>DOC-7876</t>
  </si>
  <si>
    <t>Notion - Marketing e Eventos</t>
  </si>
  <si>
    <t>Marketing e Eventos</t>
  </si>
  <si>
    <t>DOC-7334</t>
  </si>
  <si>
    <t>Notion</t>
  </si>
  <si>
    <t>ContaAzul - Aluguel e Facilities</t>
  </si>
  <si>
    <t>DOC-7326</t>
  </si>
  <si>
    <t>HubSpot - Jurídico e Contabilidade</t>
  </si>
  <si>
    <t>DOC-7716</t>
  </si>
  <si>
    <t>ContaAzul - Jurídico e Contabilidade</t>
  </si>
  <si>
    <t>Delta Cloud - Outras Receitas</t>
  </si>
  <si>
    <t>NF-1090</t>
  </si>
  <si>
    <t>Gamma Digital - Receita de Consultoria</t>
  </si>
  <si>
    <t>NF-1039</t>
  </si>
  <si>
    <t>Iota Systems - Receita de Setup</t>
  </si>
  <si>
    <t>NF-1069</t>
  </si>
  <si>
    <t>DOC-6229</t>
  </si>
  <si>
    <t>Delta Cloud - Receita de Setup</t>
  </si>
  <si>
    <t>NF-1078</t>
  </si>
  <si>
    <t>DOC-9309</t>
  </si>
  <si>
    <t>NF-1033</t>
  </si>
  <si>
    <t>WeWork - Jurídico e Contabilidade</t>
  </si>
  <si>
    <t>DOC-7547</t>
  </si>
  <si>
    <t>Theta Labs - Receita Recorrente (MRR)</t>
  </si>
  <si>
    <t>NF-1068</t>
  </si>
  <si>
    <t>Theta Labs</t>
  </si>
  <si>
    <t>HubSpot - Freelancers/PJ</t>
  </si>
  <si>
    <t>DOC-7750</t>
  </si>
  <si>
    <t>Epsilon Data - Receita de Consultoria</t>
  </si>
  <si>
    <t>NF-1076</t>
  </si>
  <si>
    <t>Unimed - Freelancers/PJ</t>
  </si>
  <si>
    <t>DOC-9808</t>
  </si>
  <si>
    <t>Unimed</t>
  </si>
  <si>
    <t>AWS - Infraestrutura Cloud</t>
  </si>
  <si>
    <t>DOC-6310</t>
  </si>
  <si>
    <t>Kappa Pay - Outras Receitas</t>
  </si>
  <si>
    <t>NF-1087</t>
  </si>
  <si>
    <t>GitHub - Infraestrutura Cloud</t>
  </si>
  <si>
    <t>DOC-7388</t>
  </si>
  <si>
    <t>Iota Systems - Outras Receitas</t>
  </si>
  <si>
    <t>NF-1054</t>
  </si>
  <si>
    <t>Beta SaaS - Receita de Consultoria</t>
  </si>
  <si>
    <t>Slack - SaaS/Ferramentas</t>
  </si>
  <si>
    <t>DOC-9962</t>
  </si>
  <si>
    <t>Theta Labs - Receita de Consultoria</t>
  </si>
  <si>
    <t>Freelancer B - Seguros</t>
  </si>
  <si>
    <t>DOC-8890</t>
  </si>
  <si>
    <t>Freelancer A - Impostos</t>
  </si>
  <si>
    <t>DOC-9565</t>
  </si>
  <si>
    <t>GitHub - Jurídico e Contabilidade</t>
  </si>
  <si>
    <t>DOC-6601</t>
  </si>
  <si>
    <t>Theta Labs - Outras Receitas</t>
  </si>
  <si>
    <t>NF-1043</t>
  </si>
  <si>
    <t>DOC-6290</t>
  </si>
  <si>
    <t>Alpha Tech - Receita de Consultoria</t>
  </si>
  <si>
    <t>Freelancer B - Benefícios</t>
  </si>
  <si>
    <t>DOC-8858</t>
  </si>
  <si>
    <t>DOC-6660</t>
  </si>
  <si>
    <t>DOC-8075</t>
  </si>
  <si>
    <t>AWS - Aluguel e Facilities</t>
  </si>
  <si>
    <t>Gamma Digital - Receita Recorrente (MRR)</t>
  </si>
  <si>
    <t>NF-1058</t>
  </si>
  <si>
    <t>Zeta AI - Receita de Consultoria</t>
  </si>
  <si>
    <t>NF-1038</t>
  </si>
  <si>
    <t>DOC-6017</t>
  </si>
  <si>
    <t>Silva &amp; Advogados - Infraestrutura Cloud</t>
  </si>
  <si>
    <t>DOC-6092</t>
  </si>
  <si>
    <t>Delta Cloud - Receita Recorrente (MRR)</t>
  </si>
  <si>
    <t>NF-1079</t>
  </si>
  <si>
    <t>DOC-8589</t>
  </si>
  <si>
    <t>ContaAzul - Freelancers/PJ</t>
  </si>
  <si>
    <t>DOC-8966</t>
  </si>
  <si>
    <t>Silva &amp; Advogados - Jurídico e Contabilidade</t>
  </si>
  <si>
    <t>Google Cloud - Aluguel e Facilities</t>
  </si>
  <si>
    <t>DOC-8242</t>
  </si>
  <si>
    <t>Notion - Viagens</t>
  </si>
  <si>
    <t>DOC-7741</t>
  </si>
  <si>
    <t>NF-1061</t>
  </si>
  <si>
    <t>AWS - Viagens</t>
  </si>
  <si>
    <t>Google Cloud - Pessoal</t>
  </si>
  <si>
    <t>DOC-9691</t>
  </si>
  <si>
    <t>DOC-7623</t>
  </si>
  <si>
    <t>Unimed - Benefícios</t>
  </si>
  <si>
    <t>Google Cloud - SaaS/Ferramentas</t>
  </si>
  <si>
    <t>DOC-7283</t>
  </si>
  <si>
    <t>Gamma Digital - Receita de Setup</t>
  </si>
  <si>
    <t>HubSpot - Aluguel e Facilities</t>
  </si>
  <si>
    <t>DOC-5427</t>
  </si>
  <si>
    <t>Silva &amp; Advogados - Seguros</t>
  </si>
  <si>
    <t>DOC-6462</t>
  </si>
  <si>
    <t>Porto Seguro - Impostos</t>
  </si>
  <si>
    <t>DOC-8426</t>
  </si>
  <si>
    <t>Datadog - Infraestrutura Cloud</t>
  </si>
  <si>
    <t>DOC-9030</t>
  </si>
  <si>
    <t>NF-1065</t>
  </si>
  <si>
    <t>GitHub - SaaS/Ferramentas</t>
  </si>
  <si>
    <t>Zeta AI - Receita de Setup</t>
  </si>
  <si>
    <t>NF-1081</t>
  </si>
  <si>
    <t>DOC-5879</t>
  </si>
  <si>
    <t>DOC-9865</t>
  </si>
  <si>
    <t>NF-1048</t>
  </si>
  <si>
    <t>DOC-9188</t>
  </si>
  <si>
    <t>DOC-7631</t>
  </si>
  <si>
    <t>DOC-9744</t>
  </si>
  <si>
    <t>DOC-9738</t>
  </si>
  <si>
    <t>Slack - Viagens</t>
  </si>
  <si>
    <t>DOC-5510</t>
  </si>
  <si>
    <t>Notion - Freelancers/PJ</t>
  </si>
  <si>
    <t>NF-1051</t>
  </si>
  <si>
    <t>DOC-7244</t>
  </si>
  <si>
    <t>DOC-8247</t>
  </si>
  <si>
    <t>DOC-9253</t>
  </si>
  <si>
    <t>WeWork - Freelancers/PJ</t>
  </si>
  <si>
    <t>DOC-7923</t>
  </si>
  <si>
    <t>ContaAzul - Benefícios</t>
  </si>
  <si>
    <t>DOC-5455</t>
  </si>
  <si>
    <t>Notion - Infraestrutura Cloud</t>
  </si>
  <si>
    <t>DOC-9890</t>
  </si>
  <si>
    <t>Freelancer B - Infraestrutura Cloud</t>
  </si>
  <si>
    <t>NF-1050</t>
  </si>
  <si>
    <t>WeWork - SaaS/Ferramentas</t>
  </si>
  <si>
    <t>DOC-5922</t>
  </si>
  <si>
    <t>NF-1072</t>
  </si>
  <si>
    <t>DOC-6331</t>
  </si>
  <si>
    <t>Silva &amp; Advogados - Aluguel e Facilities</t>
  </si>
  <si>
    <t>DOC-5670</t>
  </si>
  <si>
    <t>Beta SaaS - Outras Receitas</t>
  </si>
  <si>
    <t>NF-1075</t>
  </si>
  <si>
    <t>DOC-5932</t>
  </si>
  <si>
    <t>Unimed - Infraestrutura Cloud</t>
  </si>
  <si>
    <t>DOC-6757</t>
  </si>
  <si>
    <t>Porto Seguro - Infraestrutura Cloud</t>
  </si>
  <si>
    <t>DOC-8005</t>
  </si>
  <si>
    <t>Iota Systems - Receita Recorrente (MRR)</t>
  </si>
  <si>
    <t>NF-1053</t>
  </si>
  <si>
    <t>HubSpot - Viagens</t>
  </si>
  <si>
    <t>DOC-6039</t>
  </si>
  <si>
    <t>DOC-6126</t>
  </si>
  <si>
    <t>DOC-9371</t>
  </si>
  <si>
    <t>Google Cloud - Marketing e Eventos</t>
  </si>
  <si>
    <t>DOC-5827</t>
  </si>
  <si>
    <t>DOC-6960</t>
  </si>
  <si>
    <t>HubSpot - Marketing e Eventos</t>
  </si>
  <si>
    <t>DOC-8262</t>
  </si>
  <si>
    <t>Unimed - Pessoal</t>
  </si>
  <si>
    <t>DOC-8591</t>
  </si>
  <si>
    <t>NF-1080</t>
  </si>
  <si>
    <t>Alpha Tech - Receita Recorrente (MRR)</t>
  </si>
  <si>
    <t>DOC-8226</t>
  </si>
  <si>
    <t>Notion - Impostos</t>
  </si>
  <si>
    <t>DOC-6526</t>
  </si>
  <si>
    <t>Epsilon Data - Outras Receitas</t>
  </si>
  <si>
    <t>NF-1042</t>
  </si>
  <si>
    <t>WeWork - Seguros</t>
  </si>
  <si>
    <t>Freelancer B - Viagens</t>
  </si>
  <si>
    <t>DOC-6146</t>
  </si>
  <si>
    <t>NF-1036</t>
  </si>
  <si>
    <t>Freelancer A - Benefícios</t>
  </si>
  <si>
    <t>Freelancer B - Marketing e Eventos</t>
  </si>
  <si>
    <t>Theta Labs - Receita de Setup</t>
  </si>
  <si>
    <t>NF-1045</t>
  </si>
  <si>
    <t>Porto Seguro - Aluguel e Facilities</t>
  </si>
  <si>
    <t>DOC-7614</t>
  </si>
  <si>
    <t>Freelancer A - Jurídico e Contabilidade</t>
  </si>
  <si>
    <t>ContaAzul - Pessoal</t>
  </si>
  <si>
    <t>DOC-6683</t>
  </si>
  <si>
    <t>GitHub - Benefícios</t>
  </si>
  <si>
    <t>DOC-9477</t>
  </si>
  <si>
    <t>Porto Seguro - Benefícios</t>
  </si>
  <si>
    <t>DOC-7647</t>
  </si>
  <si>
    <t>NF-1035</t>
  </si>
  <si>
    <t>NF-1040</t>
  </si>
  <si>
    <t>Silva &amp; Advogados - Impostos</t>
  </si>
  <si>
    <t>DOC-6582</t>
  </si>
  <si>
    <t>DOC-6507</t>
  </si>
  <si>
    <t>DOC-8378</t>
  </si>
  <si>
    <t>DOC-5439</t>
  </si>
  <si>
    <t>NF-1083</t>
  </si>
  <si>
    <t>Notion - Pessoal</t>
  </si>
  <si>
    <t>DOC-7564</t>
  </si>
  <si>
    <t>DOC-9406</t>
  </si>
  <si>
    <t>NF-1049</t>
  </si>
  <si>
    <t>Notion - Benefícios</t>
  </si>
  <si>
    <t>DOC-8986</t>
  </si>
  <si>
    <t>DOC-7690</t>
  </si>
  <si>
    <t>AWS - Marketing e Eventos</t>
  </si>
  <si>
    <t>DOC-6542</t>
  </si>
  <si>
    <t>Google Cloud - Viagens</t>
  </si>
  <si>
    <t>RECEITA RECORRENTE (MRR) POR CLIENTE - Q4 2025</t>
  </si>
  <si>
    <t>Cliente</t>
  </si>
  <si>
    <t>Plano</t>
  </si>
  <si>
    <t>MRR Contratado (R$)</t>
  </si>
  <si>
    <t>Out/25 Faturado</t>
  </si>
  <si>
    <t>Nov/25 Faturado</t>
  </si>
  <si>
    <t>Dez/25 Faturado</t>
  </si>
  <si>
    <t>Churn Risk</t>
  </si>
  <si>
    <t>NF Emitida Out</t>
  </si>
  <si>
    <t>NF Emitida Nov</t>
  </si>
  <si>
    <t>NF Emitida Dez</t>
  </si>
  <si>
    <t>Enterprise</t>
  </si>
  <si>
    <t>Baixo</t>
  </si>
  <si>
    <t>Churned</t>
  </si>
  <si>
    <t>Emitida</t>
  </si>
  <si>
    <t>Em atraso</t>
  </si>
  <si>
    <t>N/A</t>
  </si>
  <si>
    <t>Growth</t>
  </si>
  <si>
    <t>Alto</t>
  </si>
  <si>
    <t>Médio</t>
  </si>
  <si>
    <t>Starter</t>
  </si>
  <si>
    <t>Lambda Fin</t>
  </si>
  <si>
    <t>Mu Analytics</t>
  </si>
  <si>
    <t>Nu Robotics</t>
  </si>
  <si>
    <t>Omicron Health</t>
  </si>
  <si>
    <t>Pi Logistics</t>
  </si>
  <si>
    <t>Rho Security</t>
  </si>
  <si>
    <t>TOTAL</t>
  </si>
  <si>
    <t>Out/25</t>
  </si>
  <si>
    <t>Nov/25</t>
  </si>
  <si>
    <t>Dez/25</t>
  </si>
  <si>
    <t>Q4 2025</t>
  </si>
  <si>
    <t>Receita Bruta</t>
  </si>
  <si>
    <t xml:space="preserve">  (-) Impostos sobre Receita</t>
  </si>
  <si>
    <t xml:space="preserve">  (-) Deduções e Devoluções</t>
  </si>
  <si>
    <t>(=) Receita Líquida</t>
  </si>
  <si>
    <t>Custos dos Serviços (COGS)</t>
  </si>
  <si>
    <t xml:space="preserve">  Infraestrutura Cloud (AWS+GCP)</t>
  </si>
  <si>
    <t xml:space="preserve">  Suporte Técnico (Equipe CS)</t>
  </si>
  <si>
    <t xml:space="preserve">  Ferramentas de Operação</t>
  </si>
  <si>
    <t>(=) Lucro Bruto</t>
  </si>
  <si>
    <t xml:space="preserve">  Margem Bruta %</t>
  </si>
  <si>
    <t>Despesas Operacionais</t>
  </si>
  <si>
    <t xml:space="preserve">  Pessoal (Salários + Encargos)</t>
  </si>
  <si>
    <t xml:space="preserve">  Benefícios</t>
  </si>
  <si>
    <t xml:space="preserve">  Freelancers / PJ</t>
  </si>
  <si>
    <t xml:space="preserve">  Marketing e Eventos</t>
  </si>
  <si>
    <t xml:space="preserve">  Aluguel e Facilities</t>
  </si>
  <si>
    <t xml:space="preserve">  Jurídico e Contabilidade</t>
  </si>
  <si>
    <t xml:space="preserve">  Viagens</t>
  </si>
  <si>
    <t xml:space="preserve">  SaaS e Ferramentas</t>
  </si>
  <si>
    <t xml:space="preserve">  Outros / Diversos</t>
  </si>
  <si>
    <t>(=) Total Despesas Operacionais</t>
  </si>
  <si>
    <t>(=) EBITDA</t>
  </si>
  <si>
    <t xml:space="preserve">  Margem EBITDA %</t>
  </si>
  <si>
    <t xml:space="preserve">  Depreciação e Amortização</t>
  </si>
  <si>
    <t>(=) EBIT</t>
  </si>
  <si>
    <t xml:space="preserve">  Receitas Financeiras</t>
  </si>
  <si>
    <t xml:space="preserve">  Despesas Financeiras</t>
  </si>
  <si>
    <t>(=) Resultado Financeiro</t>
  </si>
  <si>
    <t>(=) Resultado Antes IR/CS</t>
  </si>
  <si>
    <t xml:space="preserve">  IR/CS</t>
  </si>
  <si>
    <t>(=) Resultado Líquido</t>
  </si>
  <si>
    <t xml:space="preserve">  Margem Líquida %</t>
  </si>
  <si>
    <t>Vencimento</t>
  </si>
  <si>
    <t>Dias em Atraso</t>
  </si>
  <si>
    <t>Observação</t>
  </si>
  <si>
    <t>AR</t>
  </si>
  <si>
    <t>NF 1038 - MRR Nov/25</t>
  </si>
  <si>
    <t>Vencida</t>
  </si>
  <si>
    <t>Cliente churnou, cobrança em aberto</t>
  </si>
  <si>
    <t>NF 1055 - MRR Out/25</t>
  </si>
  <si>
    <t>Downgrade não refletido na NF</t>
  </si>
  <si>
    <t>NF 1048 - MRR Out/25</t>
  </si>
  <si>
    <t>NF emitida mas não enviada ao cliente</t>
  </si>
  <si>
    <t>NF 1042 - MRR Dez/25</t>
  </si>
  <si>
    <t>A Vencer</t>
  </si>
  <si>
    <t>NF 1060 - MRR Dez/25</t>
  </si>
  <si>
    <t>NF 1082 - MRR Nov/25</t>
  </si>
  <si>
    <t>Risco alto de churn</t>
  </si>
  <si>
    <t>NF 1051 - Setup</t>
  </si>
  <si>
    <t>Cobrança de setup nunca enviada</t>
  </si>
  <si>
    <t>AP</t>
  </si>
  <si>
    <t>Infraestrutura Cloud - Dez/25</t>
  </si>
  <si>
    <t>Aumento de 17% vs Out</t>
  </si>
  <si>
    <t>GCP - Dez/25</t>
  </si>
  <si>
    <t>Aluguel Jan/26</t>
  </si>
  <si>
    <t>Plano Saúde Equipe - Jan/26</t>
  </si>
  <si>
    <t>Desenvolvimento Feature X</t>
  </si>
  <si>
    <t>Sem contrato formal</t>
  </si>
  <si>
    <t>Design Sprint Q4</t>
  </si>
  <si>
    <t>NF não emitida pelo fornecedor</t>
  </si>
  <si>
    <t>Honorários Q4</t>
  </si>
  <si>
    <t>Cobrança contestada - valor diverge do contrato</t>
  </si>
  <si>
    <t>Receita Federal</t>
  </si>
  <si>
    <t>DAS Simples - Dez/25</t>
  </si>
  <si>
    <t>Folha</t>
  </si>
  <si>
    <t>13o Salário - 2a parcela</t>
  </si>
  <si>
    <t>Paga</t>
  </si>
  <si>
    <t>Paga com 2 dias de atraso</t>
  </si>
  <si>
    <t>Média Mensal</t>
  </si>
  <si>
    <t>Saldo Inicial</t>
  </si>
  <si>
    <t>(+) Entradas Operacionais</t>
  </si>
  <si>
    <t>(-) Saídas Operacionais</t>
  </si>
  <si>
    <t>(=) Fluxo de Caixa Operacional</t>
  </si>
  <si>
    <t>(+) Aporte Investidores</t>
  </si>
  <si>
    <t>(+) Receitas Financeiras</t>
  </si>
  <si>
    <t>(-) Investimentos (CAPEX)</t>
  </si>
  <si>
    <t>(=) Variação de Caixa</t>
  </si>
  <si>
    <t>(=) Saldo Final</t>
  </si>
  <si>
    <t>Burn Rate Mensal (Líquido)</t>
  </si>
  <si>
    <t>Runway (meses)</t>
  </si>
  <si>
    <t>Barte Business Case</t>
  </si>
  <si>
    <t>DRE GERENCIAL - NUVIO TECH (NAO AUDITADA)</t>
  </si>
  <si>
    <t>CONTAS A PAGAR E RECEBER - POSICAO EM 31/12/2025</t>
  </si>
  <si>
    <t>POSICAO DE CAIXA E PROJECAO DE RUNWAY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</si>
</sst>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#,##0.00;\(#,##0.00\);\-"/>
    <numFmt numFmtId="166" formatCode="0.0%"/>
    <numFmt numFmtId="167" formatCode="0.0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DF285D"/>
      <name val="Arial"/>
      <family val="2"/>
    </font>
    <font>
      <b/>
      <sz val="13"/>
      <color rgb="FFFEFEFE"/>
      <name val="Calibri"/>
      <family val="2"/>
    </font>
    <font>
      <sz val="13"/>
      <color rgb="FFFEFEFE"/>
      <name val="Calibri"/>
      <family val="2"/>
    </font>
    <font>
      <b/>
      <sz val="11"/>
      <color rgb="FF171717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6FA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CAD3"/>
        <bgColor indexed="64"/>
      </patternFill>
    </fill>
    <fill>
      <patternFill patternType="solid">
        <fgColor rgb="FFDF285D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F4E7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1F4E79"/>
      </top>
      <bottom/>
      <diagonal/>
    </border>
    <border>
      <left style="thin">
        <color rgb="FFCCCCCC"/>
      </left>
      <right style="thin">
        <color rgb="FFCCCCCC"/>
      </right>
      <top style="medium">
        <color rgb="FF1F4E79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B4C6D9"/>
      </top>
      <bottom style="thin">
        <color rgb="FFCCCCCC"/>
      </bottom>
      <diagonal/>
    </border>
    <border>
      <left/>
      <right/>
      <top style="thin">
        <color rgb="FFB4C6D9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B4C6D9"/>
      </top>
      <bottom/>
      <diagonal/>
    </border>
    <border>
      <left style="thin">
        <color rgb="FFCCCCCC"/>
      </left>
      <right style="thin">
        <color rgb="FFCCCCCC"/>
      </right>
      <top/>
      <bottom style="medium">
        <color rgb="FF1F4E79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4" fillId="4" borderId="5" xfId="0" applyFont="1" applyFill="1" applyBorder="1"/>
    <xf numFmtId="0" fontId="0" fillId="4" borderId="5" xfId="0" applyFill="1" applyBorder="1"/>
    <xf numFmtId="4" fontId="4" fillId="4" borderId="6" xfId="0" applyNumberFormat="1" applyFont="1" applyFill="1" applyBorder="1"/>
    <xf numFmtId="0" fontId="3" fillId="0" borderId="2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166" fontId="2" fillId="5" borderId="1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165" fontId="3" fillId="0" borderId="7" xfId="0" applyNumberFormat="1" applyFont="1" applyBorder="1" applyAlignment="1">
      <alignment horizontal="center" vertical="center" wrapText="1"/>
    </xf>
    <xf numFmtId="165" fontId="4" fillId="0" borderId="7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8" xfId="0" applyBorder="1"/>
    <xf numFmtId="0" fontId="2" fillId="5" borderId="2" xfId="0" applyFont="1" applyFill="1" applyBorder="1" applyAlignment="1">
      <alignment horizontal="left" vertical="center" wrapText="1"/>
    </xf>
    <xf numFmtId="166" fontId="2" fillId="5" borderId="2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left" vertical="center" wrapText="1"/>
    </xf>
    <xf numFmtId="165" fontId="4" fillId="4" borderId="7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165" fontId="4" fillId="4" borderId="2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165" fontId="4" fillId="4" borderId="4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center" wrapText="1"/>
    </xf>
    <xf numFmtId="166" fontId="2" fillId="5" borderId="3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left" vertical="center" wrapText="1"/>
    </xf>
    <xf numFmtId="4" fontId="2" fillId="6" borderId="6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4" fontId="2" fillId="3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5" fontId="5" fillId="0" borderId="7" xfId="0" applyNumberFormat="1" applyFont="1" applyBorder="1" applyAlignment="1">
      <alignment horizontal="center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164" fontId="2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165" fontId="2" fillId="7" borderId="2" xfId="0" applyNumberFormat="1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165" fontId="2" fillId="7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5" fontId="6" fillId="4" borderId="9" xfId="0" applyNumberFormat="1" applyFont="1" applyFill="1" applyBorder="1" applyAlignment="1">
      <alignment horizontal="center" vertical="center" wrapText="1"/>
    </xf>
    <xf numFmtId="167" fontId="6" fillId="4" borderId="3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7" fillId="8" borderId="0" xfId="0" applyFont="1" applyFill="1" applyBorder="1" applyAlignment="1">
      <alignment horizontal="left" vertical="center"/>
    </xf>
    <xf numFmtId="0" fontId="8" fillId="8" borderId="0" xfId="0" applyFont="1" applyFill="1" applyBorder="1"/>
    <xf numFmtId="0" fontId="1" fillId="2" borderId="11" xfId="0" applyFont="1" applyFill="1" applyBorder="1" applyAlignment="1">
      <alignment horizontal="center" vertical="center" wrapText="1"/>
    </xf>
    <xf numFmtId="0" fontId="0" fillId="7" borderId="0" xfId="0" applyFill="1"/>
    <xf numFmtId="0" fontId="9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96F128-9DE0-D240-A329-79888BB3CB8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a332117-dc57-46d9-9f0a-7e2f7a7d4de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G182"/>
  <sheetViews>
    <sheetView showGridLines="0" tabSelected="1" zoomScaleNormal="100" workbookViewId="0">
      <pane ySplit="2" topLeftCell="A3" activePane="bottomLeft" state="frozen"/>
      <selection pane="bottomLeft" activeCell="K26" sqref="K26:L26"/>
    </sheetView>
  </sheetViews>
  <sheetFormatPr baseColWidth="10" defaultColWidth="8.6640625" defaultRowHeight="15" x14ac:dyDescent="0.2"/>
  <cols>
    <col min="1" max="1" width="14.1640625" customWidth="1"/>
    <col min="2" max="2" width="45" customWidth="1"/>
    <col min="3" max="3" width="21.6640625" customWidth="1"/>
    <col min="4" max="5" width="18.33203125" customWidth="1"/>
    <col min="6" max="6" width="16.6640625" customWidth="1"/>
    <col min="7" max="7" width="11.6640625" customWidth="1"/>
  </cols>
  <sheetData>
    <row r="1" spans="1:7" ht="32" customHeight="1" x14ac:dyDescent="0.2">
      <c r="A1" s="79" t="s">
        <v>625</v>
      </c>
      <c r="B1" s="80"/>
      <c r="C1" s="80"/>
      <c r="D1" s="80"/>
      <c r="E1" s="80"/>
      <c r="F1" s="80"/>
      <c r="G1" s="80"/>
    </row>
    <row r="2" spans="1:7" ht="28" customHeight="1" thickBot="1" x14ac:dyDescent="0.25">
      <c r="A2" s="78" t="s">
        <v>0</v>
      </c>
      <c r="B2" s="78" t="s">
        <v>1</v>
      </c>
      <c r="C2" s="78" t="s">
        <v>2</v>
      </c>
      <c r="D2" s="78" t="s">
        <v>3</v>
      </c>
      <c r="E2" s="78" t="s">
        <v>4</v>
      </c>
      <c r="F2" s="78" t="s">
        <v>5</v>
      </c>
      <c r="G2" s="78" t="s">
        <v>6</v>
      </c>
    </row>
    <row r="3" spans="1:7" x14ac:dyDescent="0.2">
      <c r="A3" s="14">
        <v>45931</v>
      </c>
      <c r="B3" s="15" t="s">
        <v>7</v>
      </c>
      <c r="C3" s="16" t="s">
        <v>8</v>
      </c>
      <c r="D3" s="17">
        <v>-16707.86</v>
      </c>
      <c r="E3" s="17">
        <v>2833292.14</v>
      </c>
      <c r="F3" s="16"/>
      <c r="G3" s="16" t="s">
        <v>9</v>
      </c>
    </row>
    <row r="4" spans="1:7" x14ac:dyDescent="0.2">
      <c r="A4" s="10">
        <v>45931</v>
      </c>
      <c r="B4" s="11" t="s">
        <v>10</v>
      </c>
      <c r="C4" s="12" t="s">
        <v>11</v>
      </c>
      <c r="D4" s="13">
        <v>-13461.04</v>
      </c>
      <c r="E4" s="13">
        <v>2819831.1</v>
      </c>
      <c r="F4" s="12" t="s">
        <v>12</v>
      </c>
      <c r="G4" s="12" t="s">
        <v>13</v>
      </c>
    </row>
    <row r="5" spans="1:7" x14ac:dyDescent="0.2">
      <c r="A5" s="1">
        <v>45932</v>
      </c>
      <c r="B5" s="2" t="s">
        <v>7</v>
      </c>
      <c r="C5" s="3" t="s">
        <v>14</v>
      </c>
      <c r="D5" s="4">
        <v>-41963.14</v>
      </c>
      <c r="E5" s="4">
        <v>2777867.96</v>
      </c>
      <c r="F5" s="3"/>
      <c r="G5" s="3" t="s">
        <v>9</v>
      </c>
    </row>
    <row r="6" spans="1:7" x14ac:dyDescent="0.2">
      <c r="A6" s="10">
        <v>45933</v>
      </c>
      <c r="B6" s="11" t="s">
        <v>15</v>
      </c>
      <c r="C6" s="12" t="s">
        <v>14</v>
      </c>
      <c r="D6" s="13">
        <v>-59574.82</v>
      </c>
      <c r="E6" s="13">
        <v>2718293.14</v>
      </c>
      <c r="F6" s="12" t="s">
        <v>16</v>
      </c>
      <c r="G6" s="12" t="s">
        <v>13</v>
      </c>
    </row>
    <row r="7" spans="1:7" x14ac:dyDescent="0.2">
      <c r="A7" s="1">
        <v>45934</v>
      </c>
      <c r="B7" s="2" t="s">
        <v>17</v>
      </c>
      <c r="C7" s="3" t="s">
        <v>14</v>
      </c>
      <c r="D7" s="4">
        <v>-12897.84</v>
      </c>
      <c r="E7" s="4">
        <v>2705395.3</v>
      </c>
      <c r="F7" s="3"/>
      <c r="G7" s="3" t="s">
        <v>9</v>
      </c>
    </row>
    <row r="8" spans="1:7" x14ac:dyDescent="0.2">
      <c r="A8" s="10">
        <v>45934</v>
      </c>
      <c r="B8" s="11" t="s">
        <v>18</v>
      </c>
      <c r="C8" s="12" t="s">
        <v>19</v>
      </c>
      <c r="D8" s="13">
        <v>-30003.49</v>
      </c>
      <c r="E8" s="13">
        <v>2675391.81</v>
      </c>
      <c r="F8" s="12"/>
      <c r="G8" s="12" t="s">
        <v>13</v>
      </c>
    </row>
    <row r="9" spans="1:7" x14ac:dyDescent="0.2">
      <c r="A9" s="1">
        <v>45934</v>
      </c>
      <c r="B9" s="2" t="s">
        <v>10</v>
      </c>
      <c r="C9" s="3" t="s">
        <v>8</v>
      </c>
      <c r="D9" s="4">
        <v>-32085.34</v>
      </c>
      <c r="E9" s="4">
        <v>2643306.4700000002</v>
      </c>
      <c r="F9" s="3" t="s">
        <v>20</v>
      </c>
      <c r="G9" s="3" t="s">
        <v>21</v>
      </c>
    </row>
    <row r="10" spans="1:7" x14ac:dyDescent="0.2">
      <c r="A10" s="10">
        <v>45935</v>
      </c>
      <c r="B10" s="11" t="s">
        <v>17</v>
      </c>
      <c r="C10" s="12" t="s">
        <v>14</v>
      </c>
      <c r="D10" s="13">
        <v>-3445.39</v>
      </c>
      <c r="E10" s="13">
        <v>2639861.08</v>
      </c>
      <c r="F10" s="12" t="s">
        <v>22</v>
      </c>
      <c r="G10" s="12" t="s">
        <v>9</v>
      </c>
    </row>
    <row r="11" spans="1:7" x14ac:dyDescent="0.2">
      <c r="A11" s="1">
        <v>45936</v>
      </c>
      <c r="B11" s="2" t="s">
        <v>23</v>
      </c>
      <c r="C11" s="3" t="s">
        <v>24</v>
      </c>
      <c r="D11" s="4">
        <v>2065.96</v>
      </c>
      <c r="E11" s="4">
        <v>2641927.04</v>
      </c>
      <c r="F11" s="3" t="s">
        <v>25</v>
      </c>
      <c r="G11" s="3" t="s">
        <v>9</v>
      </c>
    </row>
    <row r="12" spans="1:7" x14ac:dyDescent="0.2">
      <c r="A12" s="10">
        <v>45937</v>
      </c>
      <c r="B12" s="11" t="s">
        <v>7</v>
      </c>
      <c r="C12" s="12" t="s">
        <v>26</v>
      </c>
      <c r="D12" s="13">
        <v>-43620.33</v>
      </c>
      <c r="E12" s="13">
        <v>2598306.71</v>
      </c>
      <c r="F12" s="12" t="s">
        <v>27</v>
      </c>
      <c r="G12" s="12" t="s">
        <v>9</v>
      </c>
    </row>
    <row r="13" spans="1:7" x14ac:dyDescent="0.2">
      <c r="A13" s="1">
        <v>45937</v>
      </c>
      <c r="B13" s="2" t="s">
        <v>28</v>
      </c>
      <c r="C13" s="3" t="s">
        <v>19</v>
      </c>
      <c r="D13" s="4">
        <v>-7505.76</v>
      </c>
      <c r="E13" s="4">
        <v>2590800.9500000002</v>
      </c>
      <c r="F13" s="3" t="s">
        <v>29</v>
      </c>
      <c r="G13" s="3" t="s">
        <v>9</v>
      </c>
    </row>
    <row r="14" spans="1:7" x14ac:dyDescent="0.2">
      <c r="A14" s="10">
        <v>45937</v>
      </c>
      <c r="B14" s="11" t="s">
        <v>30</v>
      </c>
      <c r="C14" s="12" t="s">
        <v>11</v>
      </c>
      <c r="D14" s="13">
        <v>-5065.1499999999996</v>
      </c>
      <c r="E14" s="13">
        <v>2585735.7999999998</v>
      </c>
      <c r="F14" s="12"/>
      <c r="G14" s="12" t="s">
        <v>9</v>
      </c>
    </row>
    <row r="15" spans="1:7" x14ac:dyDescent="0.2">
      <c r="A15" s="1">
        <v>45937</v>
      </c>
      <c r="B15" s="2" t="s">
        <v>31</v>
      </c>
      <c r="C15" s="3" t="s">
        <v>24</v>
      </c>
      <c r="D15" s="4">
        <v>352660.3</v>
      </c>
      <c r="E15" s="4">
        <v>2938396.1</v>
      </c>
      <c r="F15" s="3" t="s">
        <v>32</v>
      </c>
      <c r="G15" s="3" t="s">
        <v>9</v>
      </c>
    </row>
    <row r="16" spans="1:7" x14ac:dyDescent="0.2">
      <c r="A16" s="10">
        <v>45938</v>
      </c>
      <c r="B16" s="11" t="s">
        <v>7</v>
      </c>
      <c r="C16" s="12" t="s">
        <v>19</v>
      </c>
      <c r="D16" s="13">
        <v>-15169.25</v>
      </c>
      <c r="E16" s="13">
        <v>2923226.85</v>
      </c>
      <c r="F16" s="12"/>
      <c r="G16" s="12" t="s">
        <v>9</v>
      </c>
    </row>
    <row r="17" spans="1:7" x14ac:dyDescent="0.2">
      <c r="A17" s="1">
        <v>45939</v>
      </c>
      <c r="B17" s="2" t="s">
        <v>15</v>
      </c>
      <c r="C17" s="3" t="s">
        <v>8</v>
      </c>
      <c r="D17" s="4">
        <v>-49226.53</v>
      </c>
      <c r="E17" s="4">
        <v>2874000.32</v>
      </c>
      <c r="F17" s="3" t="s">
        <v>33</v>
      </c>
      <c r="G17" s="3" t="s">
        <v>9</v>
      </c>
    </row>
    <row r="18" spans="1:7" x14ac:dyDescent="0.2">
      <c r="A18" s="10">
        <v>45939</v>
      </c>
      <c r="B18" s="11" t="s">
        <v>34</v>
      </c>
      <c r="C18" s="12" t="s">
        <v>19</v>
      </c>
      <c r="D18" s="13">
        <v>-224061.2</v>
      </c>
      <c r="E18" s="13">
        <v>2649939.12</v>
      </c>
      <c r="F18" s="12"/>
      <c r="G18" s="12" t="s">
        <v>9</v>
      </c>
    </row>
    <row r="19" spans="1:7" x14ac:dyDescent="0.2">
      <c r="A19" s="1">
        <v>45940</v>
      </c>
      <c r="B19" s="2" t="s">
        <v>35</v>
      </c>
      <c r="C19" s="3" t="s">
        <v>19</v>
      </c>
      <c r="D19" s="4">
        <v>-29922.65</v>
      </c>
      <c r="E19" s="4">
        <v>2620016.4700000002</v>
      </c>
      <c r="F19" s="3" t="s">
        <v>36</v>
      </c>
      <c r="G19" s="3" t="s">
        <v>9</v>
      </c>
    </row>
    <row r="20" spans="1:7" x14ac:dyDescent="0.2">
      <c r="A20" s="10">
        <v>45941</v>
      </c>
      <c r="B20" s="11" t="s">
        <v>30</v>
      </c>
      <c r="C20" s="12" t="s">
        <v>8</v>
      </c>
      <c r="D20" s="13">
        <v>-34072.400000000001</v>
      </c>
      <c r="E20" s="13">
        <v>2585944.0699999998</v>
      </c>
      <c r="F20" s="12"/>
      <c r="G20" s="12" t="s">
        <v>9</v>
      </c>
    </row>
    <row r="21" spans="1:7" x14ac:dyDescent="0.2">
      <c r="A21" s="1">
        <v>45942</v>
      </c>
      <c r="B21" s="2" t="s">
        <v>35</v>
      </c>
      <c r="C21" s="3" t="s">
        <v>26</v>
      </c>
      <c r="D21" s="4">
        <v>-657.78</v>
      </c>
      <c r="E21" s="4">
        <v>2585286.29</v>
      </c>
      <c r="F21" s="3" t="s">
        <v>37</v>
      </c>
      <c r="G21" s="3" t="s">
        <v>9</v>
      </c>
    </row>
    <row r="22" spans="1:7" x14ac:dyDescent="0.2">
      <c r="A22" s="10">
        <v>45942</v>
      </c>
      <c r="B22" s="11" t="s">
        <v>38</v>
      </c>
      <c r="C22" s="12" t="s">
        <v>39</v>
      </c>
      <c r="D22" s="13">
        <v>-294218.65999999997</v>
      </c>
      <c r="E22" s="13">
        <v>2291067.63</v>
      </c>
      <c r="F22" s="12"/>
      <c r="G22" s="12" t="s">
        <v>9</v>
      </c>
    </row>
    <row r="23" spans="1:7" x14ac:dyDescent="0.2">
      <c r="A23" s="1">
        <v>45942</v>
      </c>
      <c r="B23" s="2" t="s">
        <v>34</v>
      </c>
      <c r="C23" s="3" t="s">
        <v>11</v>
      </c>
      <c r="D23" s="4">
        <v>-186759.51</v>
      </c>
      <c r="E23" s="4">
        <v>2104308.12</v>
      </c>
      <c r="F23" s="3" t="s">
        <v>40</v>
      </c>
      <c r="G23" s="3" t="s">
        <v>21</v>
      </c>
    </row>
    <row r="24" spans="1:7" x14ac:dyDescent="0.2">
      <c r="A24" s="10">
        <v>45943</v>
      </c>
      <c r="B24" s="11" t="s">
        <v>41</v>
      </c>
      <c r="C24" s="12" t="s">
        <v>14</v>
      </c>
      <c r="D24" s="13">
        <v>-7738.11</v>
      </c>
      <c r="E24" s="13">
        <v>2096570.01</v>
      </c>
      <c r="F24" s="12" t="s">
        <v>42</v>
      </c>
      <c r="G24" s="12" t="s">
        <v>9</v>
      </c>
    </row>
    <row r="25" spans="1:7" x14ac:dyDescent="0.2">
      <c r="A25" s="1">
        <v>45944</v>
      </c>
      <c r="B25" s="2" t="s">
        <v>43</v>
      </c>
      <c r="C25" s="3" t="s">
        <v>19</v>
      </c>
      <c r="D25" s="4">
        <v>-36345.99</v>
      </c>
      <c r="E25" s="4">
        <v>2060224.02</v>
      </c>
      <c r="F25" s="3" t="s">
        <v>44</v>
      </c>
      <c r="G25" s="3" t="s">
        <v>9</v>
      </c>
    </row>
    <row r="26" spans="1:7" x14ac:dyDescent="0.2">
      <c r="A26" s="10">
        <v>45944</v>
      </c>
      <c r="B26" s="11" t="s">
        <v>23</v>
      </c>
      <c r="C26" s="12" t="s">
        <v>45</v>
      </c>
      <c r="D26" s="13">
        <v>4969.3100000000004</v>
      </c>
      <c r="E26" s="13">
        <v>2065193.33</v>
      </c>
      <c r="F26" s="12" t="s">
        <v>46</v>
      </c>
      <c r="G26" s="12" t="s">
        <v>13</v>
      </c>
    </row>
    <row r="27" spans="1:7" x14ac:dyDescent="0.2">
      <c r="A27" s="1">
        <v>45945</v>
      </c>
      <c r="B27" s="2" t="s">
        <v>43</v>
      </c>
      <c r="C27" s="3" t="s">
        <v>8</v>
      </c>
      <c r="D27" s="4">
        <v>-3077.67</v>
      </c>
      <c r="E27" s="4">
        <v>2062115.66</v>
      </c>
      <c r="F27" s="3" t="s">
        <v>47</v>
      </c>
      <c r="G27" s="3" t="s">
        <v>9</v>
      </c>
    </row>
    <row r="28" spans="1:7" x14ac:dyDescent="0.2">
      <c r="A28" s="10">
        <v>45945</v>
      </c>
      <c r="B28" s="11" t="s">
        <v>34</v>
      </c>
      <c r="C28" s="12" t="s">
        <v>8</v>
      </c>
      <c r="D28" s="13">
        <v>-232790.6</v>
      </c>
      <c r="E28" s="13">
        <v>1829325.06</v>
      </c>
      <c r="F28" s="12" t="s">
        <v>48</v>
      </c>
      <c r="G28" s="12" t="s">
        <v>13</v>
      </c>
    </row>
    <row r="29" spans="1:7" x14ac:dyDescent="0.2">
      <c r="A29" s="1">
        <v>45945</v>
      </c>
      <c r="B29" s="2" t="s">
        <v>49</v>
      </c>
      <c r="C29" s="3" t="s">
        <v>45</v>
      </c>
      <c r="D29" s="4">
        <v>258366.36</v>
      </c>
      <c r="E29" s="4">
        <v>2087691.42</v>
      </c>
      <c r="F29" s="3" t="s">
        <v>50</v>
      </c>
      <c r="G29" s="3" t="s">
        <v>9</v>
      </c>
    </row>
    <row r="30" spans="1:7" x14ac:dyDescent="0.2">
      <c r="A30" s="10">
        <v>45947</v>
      </c>
      <c r="B30" s="11" t="s">
        <v>51</v>
      </c>
      <c r="C30" s="12" t="s">
        <v>52</v>
      </c>
      <c r="D30" s="13">
        <v>728.83</v>
      </c>
      <c r="E30" s="13">
        <v>2088420.25</v>
      </c>
      <c r="F30" s="12" t="s">
        <v>53</v>
      </c>
      <c r="G30" s="12" t="s">
        <v>13</v>
      </c>
    </row>
    <row r="31" spans="1:7" x14ac:dyDescent="0.2">
      <c r="A31" s="1">
        <v>45947</v>
      </c>
      <c r="B31" s="2" t="s">
        <v>54</v>
      </c>
      <c r="C31" s="3" t="s">
        <v>55</v>
      </c>
      <c r="D31" s="4">
        <v>209278.73</v>
      </c>
      <c r="E31" s="4">
        <v>2297698.98</v>
      </c>
      <c r="F31" s="3" t="s">
        <v>56</v>
      </c>
      <c r="G31" s="3" t="s">
        <v>21</v>
      </c>
    </row>
    <row r="32" spans="1:7" x14ac:dyDescent="0.2">
      <c r="A32" s="10">
        <v>45948</v>
      </c>
      <c r="B32" s="11" t="s">
        <v>15</v>
      </c>
      <c r="C32" s="12" t="s">
        <v>19</v>
      </c>
      <c r="D32" s="13">
        <v>-84273.55</v>
      </c>
      <c r="E32" s="13">
        <v>2213425.4300000002</v>
      </c>
      <c r="F32" s="12" t="s">
        <v>57</v>
      </c>
      <c r="G32" s="12" t="s">
        <v>21</v>
      </c>
    </row>
    <row r="33" spans="1:7" x14ac:dyDescent="0.2">
      <c r="A33" s="1">
        <v>45948</v>
      </c>
      <c r="B33" s="2" t="s">
        <v>58</v>
      </c>
      <c r="C33" s="3" t="s">
        <v>55</v>
      </c>
      <c r="D33" s="4">
        <v>59760.39</v>
      </c>
      <c r="E33" s="4">
        <v>2273185.8199999998</v>
      </c>
      <c r="F33" s="3" t="s">
        <v>59</v>
      </c>
      <c r="G33" s="3" t="s">
        <v>13</v>
      </c>
    </row>
    <row r="34" spans="1:7" x14ac:dyDescent="0.2">
      <c r="A34" s="10">
        <v>45948</v>
      </c>
      <c r="B34" s="11" t="s">
        <v>60</v>
      </c>
      <c r="C34" s="12" t="s">
        <v>26</v>
      </c>
      <c r="D34" s="13">
        <v>-12076.96</v>
      </c>
      <c r="E34" s="13">
        <v>2261108.86</v>
      </c>
      <c r="F34" s="12" t="s">
        <v>61</v>
      </c>
      <c r="G34" s="12" t="s">
        <v>9</v>
      </c>
    </row>
    <row r="35" spans="1:7" x14ac:dyDescent="0.2">
      <c r="A35" s="1">
        <v>45948</v>
      </c>
      <c r="B35" s="2" t="s">
        <v>31</v>
      </c>
      <c r="C35" s="3" t="s">
        <v>45</v>
      </c>
      <c r="D35" s="4">
        <v>378460.55</v>
      </c>
      <c r="E35" s="4">
        <v>2639569.41</v>
      </c>
      <c r="F35" s="3"/>
      <c r="G35" s="3" t="s">
        <v>9</v>
      </c>
    </row>
    <row r="36" spans="1:7" x14ac:dyDescent="0.2">
      <c r="A36" s="10">
        <v>45950</v>
      </c>
      <c r="B36" s="11" t="s">
        <v>62</v>
      </c>
      <c r="C36" s="12" t="s">
        <v>24</v>
      </c>
      <c r="D36" s="13">
        <v>220930.15</v>
      </c>
      <c r="E36" s="13">
        <v>2860499.56</v>
      </c>
      <c r="F36" s="12" t="s">
        <v>63</v>
      </c>
      <c r="G36" s="12" t="s">
        <v>9</v>
      </c>
    </row>
    <row r="37" spans="1:7" x14ac:dyDescent="0.2">
      <c r="A37" s="1">
        <v>45951</v>
      </c>
      <c r="B37" s="2" t="s">
        <v>7</v>
      </c>
      <c r="C37" s="3" t="s">
        <v>11</v>
      </c>
      <c r="D37" s="4">
        <v>-25460.36</v>
      </c>
      <c r="E37" s="4">
        <v>2835039.2</v>
      </c>
      <c r="F37" s="3"/>
      <c r="G37" s="3" t="s">
        <v>9</v>
      </c>
    </row>
    <row r="38" spans="1:7" x14ac:dyDescent="0.2">
      <c r="A38" s="10">
        <v>45952</v>
      </c>
      <c r="B38" s="11" t="s">
        <v>43</v>
      </c>
      <c r="C38" s="12" t="s">
        <v>19</v>
      </c>
      <c r="D38" s="13">
        <v>-30041.5</v>
      </c>
      <c r="E38" s="13">
        <v>2804997.7</v>
      </c>
      <c r="F38" s="12" t="s">
        <v>64</v>
      </c>
      <c r="G38" s="12" t="s">
        <v>9</v>
      </c>
    </row>
    <row r="39" spans="1:7" x14ac:dyDescent="0.2">
      <c r="A39" s="1">
        <v>45952</v>
      </c>
      <c r="B39" s="2" t="s">
        <v>65</v>
      </c>
      <c r="C39" s="3" t="s">
        <v>8</v>
      </c>
      <c r="D39" s="4">
        <v>-17788.32</v>
      </c>
      <c r="E39" s="4">
        <v>2787209.38</v>
      </c>
      <c r="F39" s="3"/>
      <c r="G39" s="3" t="s">
        <v>9</v>
      </c>
    </row>
    <row r="40" spans="1:7" x14ac:dyDescent="0.2">
      <c r="A40" s="10">
        <v>45952</v>
      </c>
      <c r="B40" s="11" t="s">
        <v>15</v>
      </c>
      <c r="C40" s="12" t="s">
        <v>26</v>
      </c>
      <c r="D40" s="13">
        <v>-44462.48</v>
      </c>
      <c r="E40" s="13">
        <v>2742746.9</v>
      </c>
      <c r="F40" s="12"/>
      <c r="G40" s="12" t="s">
        <v>9</v>
      </c>
    </row>
    <row r="41" spans="1:7" x14ac:dyDescent="0.2">
      <c r="A41" s="1">
        <v>45953</v>
      </c>
      <c r="B41" s="2" t="s">
        <v>65</v>
      </c>
      <c r="C41" s="3" t="s">
        <v>14</v>
      </c>
      <c r="D41" s="4">
        <v>-17050.02</v>
      </c>
      <c r="E41" s="4">
        <v>2725696.88</v>
      </c>
      <c r="F41" s="3" t="s">
        <v>66</v>
      </c>
      <c r="G41" s="3" t="s">
        <v>9</v>
      </c>
    </row>
    <row r="42" spans="1:7" x14ac:dyDescent="0.2">
      <c r="A42" s="10">
        <v>45953</v>
      </c>
      <c r="B42" s="11" t="s">
        <v>15</v>
      </c>
      <c r="C42" s="12" t="s">
        <v>8</v>
      </c>
      <c r="D42" s="13">
        <v>-69193.87</v>
      </c>
      <c r="E42" s="13">
        <v>2656503.0099999998</v>
      </c>
      <c r="F42" s="12" t="s">
        <v>67</v>
      </c>
      <c r="G42" s="12" t="s">
        <v>9</v>
      </c>
    </row>
    <row r="43" spans="1:7" x14ac:dyDescent="0.2">
      <c r="A43" s="1">
        <v>45953</v>
      </c>
      <c r="B43" s="2" t="s">
        <v>35</v>
      </c>
      <c r="C43" s="3" t="s">
        <v>26</v>
      </c>
      <c r="D43" s="4">
        <v>-5323.91</v>
      </c>
      <c r="E43" s="4">
        <v>2651179.1</v>
      </c>
      <c r="F43" s="3" t="s">
        <v>68</v>
      </c>
      <c r="G43" s="3" t="s">
        <v>13</v>
      </c>
    </row>
    <row r="44" spans="1:7" x14ac:dyDescent="0.2">
      <c r="A44" s="10">
        <v>45953</v>
      </c>
      <c r="B44" s="11" t="s">
        <v>38</v>
      </c>
      <c r="C44" s="12" t="s">
        <v>39</v>
      </c>
      <c r="D44" s="13">
        <v>-223182.47</v>
      </c>
      <c r="E44" s="13">
        <v>2427996.63</v>
      </c>
      <c r="F44" s="12" t="s">
        <v>69</v>
      </c>
      <c r="G44" s="12" t="s">
        <v>13</v>
      </c>
    </row>
    <row r="45" spans="1:7" x14ac:dyDescent="0.2">
      <c r="A45" s="1">
        <v>45953</v>
      </c>
      <c r="B45" s="2" t="s">
        <v>70</v>
      </c>
      <c r="C45" s="3" t="s">
        <v>45</v>
      </c>
      <c r="D45" s="4">
        <v>236250.52</v>
      </c>
      <c r="E45" s="4">
        <v>2664247.15</v>
      </c>
      <c r="F45" s="3" t="s">
        <v>71</v>
      </c>
      <c r="G45" s="3" t="s">
        <v>9</v>
      </c>
    </row>
    <row r="46" spans="1:7" x14ac:dyDescent="0.2">
      <c r="A46" s="10">
        <v>45954</v>
      </c>
      <c r="B46" s="11" t="s">
        <v>62</v>
      </c>
      <c r="C46" s="12" t="s">
        <v>24</v>
      </c>
      <c r="D46" s="13">
        <v>169503.42</v>
      </c>
      <c r="E46" s="13">
        <v>2833750.57</v>
      </c>
      <c r="F46" s="12" t="s">
        <v>72</v>
      </c>
      <c r="G46" s="12" t="s">
        <v>9</v>
      </c>
    </row>
    <row r="47" spans="1:7" x14ac:dyDescent="0.2">
      <c r="A47" s="1">
        <v>45954</v>
      </c>
      <c r="B47" s="2" t="s">
        <v>51</v>
      </c>
      <c r="C47" s="3" t="s">
        <v>52</v>
      </c>
      <c r="D47" s="4">
        <v>5589.84</v>
      </c>
      <c r="E47" s="4">
        <v>2839340.41</v>
      </c>
      <c r="F47" s="3" t="s">
        <v>73</v>
      </c>
      <c r="G47" s="3" t="s">
        <v>21</v>
      </c>
    </row>
    <row r="48" spans="1:7" x14ac:dyDescent="0.2">
      <c r="A48" s="10">
        <v>45958</v>
      </c>
      <c r="B48" s="11" t="s">
        <v>23</v>
      </c>
      <c r="C48" s="12" t="s">
        <v>24</v>
      </c>
      <c r="D48" s="13">
        <v>3807.28</v>
      </c>
      <c r="E48" s="13">
        <v>2843147.69</v>
      </c>
      <c r="F48" s="12" t="s">
        <v>74</v>
      </c>
      <c r="G48" s="12" t="s">
        <v>9</v>
      </c>
    </row>
    <row r="49" spans="1:7" x14ac:dyDescent="0.2">
      <c r="A49" s="1">
        <v>45958</v>
      </c>
      <c r="B49" s="2" t="s">
        <v>17</v>
      </c>
      <c r="C49" s="3" t="s">
        <v>11</v>
      </c>
      <c r="D49" s="4">
        <v>-6857.79</v>
      </c>
      <c r="E49" s="4">
        <v>2836289.9</v>
      </c>
      <c r="F49" s="3"/>
      <c r="G49" s="3" t="s">
        <v>21</v>
      </c>
    </row>
    <row r="50" spans="1:7" x14ac:dyDescent="0.2">
      <c r="A50" s="10">
        <v>45958</v>
      </c>
      <c r="B50" s="11" t="s">
        <v>75</v>
      </c>
      <c r="C50" s="12" t="s">
        <v>14</v>
      </c>
      <c r="D50" s="13">
        <v>-34959.4</v>
      </c>
      <c r="E50" s="13">
        <v>2801330.5</v>
      </c>
      <c r="F50" s="12" t="s">
        <v>76</v>
      </c>
      <c r="G50" s="12" t="s">
        <v>9</v>
      </c>
    </row>
    <row r="51" spans="1:7" x14ac:dyDescent="0.2">
      <c r="A51" s="1">
        <v>45958</v>
      </c>
      <c r="B51" s="2" t="s">
        <v>75</v>
      </c>
      <c r="C51" s="3" t="s">
        <v>11</v>
      </c>
      <c r="D51" s="4">
        <v>-15582.46</v>
      </c>
      <c r="E51" s="4">
        <v>2785748.04</v>
      </c>
      <c r="F51" s="3" t="s">
        <v>77</v>
      </c>
      <c r="G51" s="3" t="s">
        <v>9</v>
      </c>
    </row>
    <row r="52" spans="1:7" x14ac:dyDescent="0.2">
      <c r="A52" s="10">
        <v>45959</v>
      </c>
      <c r="B52" s="11" t="s">
        <v>31</v>
      </c>
      <c r="C52" s="12" t="s">
        <v>55</v>
      </c>
      <c r="D52" s="13">
        <v>211382.34</v>
      </c>
      <c r="E52" s="13">
        <v>2997130.38</v>
      </c>
      <c r="F52" s="12" t="s">
        <v>78</v>
      </c>
      <c r="G52" s="12" t="s">
        <v>9</v>
      </c>
    </row>
    <row r="53" spans="1:7" x14ac:dyDescent="0.2">
      <c r="A53" s="1">
        <v>45959</v>
      </c>
      <c r="B53" s="2" t="s">
        <v>79</v>
      </c>
      <c r="C53" s="3" t="s">
        <v>45</v>
      </c>
      <c r="D53" s="4">
        <v>134170.88</v>
      </c>
      <c r="E53" s="4">
        <v>3131301.26</v>
      </c>
      <c r="F53" s="3" t="s">
        <v>80</v>
      </c>
      <c r="G53" s="3" t="s">
        <v>9</v>
      </c>
    </row>
    <row r="54" spans="1:7" x14ac:dyDescent="0.2">
      <c r="A54" s="10">
        <v>45959</v>
      </c>
      <c r="B54" s="11" t="s">
        <v>81</v>
      </c>
      <c r="C54" s="12" t="s">
        <v>55</v>
      </c>
      <c r="D54" s="13">
        <v>177599.86</v>
      </c>
      <c r="E54" s="13">
        <v>3308901.12</v>
      </c>
      <c r="F54" s="12" t="s">
        <v>82</v>
      </c>
      <c r="G54" s="12" t="s">
        <v>13</v>
      </c>
    </row>
    <row r="55" spans="1:7" x14ac:dyDescent="0.2">
      <c r="A55" s="1">
        <v>45960</v>
      </c>
      <c r="B55" s="2" t="s">
        <v>83</v>
      </c>
      <c r="C55" s="3" t="s">
        <v>26</v>
      </c>
      <c r="D55" s="4">
        <v>-34336.449999999997</v>
      </c>
      <c r="E55" s="4">
        <v>3274564.67</v>
      </c>
      <c r="F55" s="3" t="s">
        <v>84</v>
      </c>
      <c r="G55" s="3" t="s">
        <v>13</v>
      </c>
    </row>
    <row r="56" spans="1:7" x14ac:dyDescent="0.2">
      <c r="A56" s="10">
        <v>45960</v>
      </c>
      <c r="B56" s="11" t="s">
        <v>35</v>
      </c>
      <c r="C56" s="12" t="s">
        <v>11</v>
      </c>
      <c r="D56" s="13">
        <v>-11862.04</v>
      </c>
      <c r="E56" s="13">
        <v>3262702.63</v>
      </c>
      <c r="F56" s="12"/>
      <c r="G56" s="12" t="s">
        <v>13</v>
      </c>
    </row>
    <row r="57" spans="1:7" x14ac:dyDescent="0.2">
      <c r="A57" s="1">
        <v>45961</v>
      </c>
      <c r="B57" s="2" t="s">
        <v>85</v>
      </c>
      <c r="C57" s="3" t="s">
        <v>24</v>
      </c>
      <c r="D57" s="4">
        <v>205830.43</v>
      </c>
      <c r="E57" s="4">
        <v>3468533.06</v>
      </c>
      <c r="F57" s="3" t="s">
        <v>86</v>
      </c>
      <c r="G57" s="3" t="s">
        <v>21</v>
      </c>
    </row>
    <row r="58" spans="1:7" x14ac:dyDescent="0.2">
      <c r="A58" s="10">
        <v>45961</v>
      </c>
      <c r="B58" s="11" t="s">
        <v>54</v>
      </c>
      <c r="C58" s="12" t="s">
        <v>24</v>
      </c>
      <c r="D58" s="13">
        <v>215180.5</v>
      </c>
      <c r="E58" s="13">
        <v>3683713.56</v>
      </c>
      <c r="F58" s="12" t="s">
        <v>87</v>
      </c>
      <c r="G58" s="12" t="s">
        <v>9</v>
      </c>
    </row>
    <row r="59" spans="1:7" x14ac:dyDescent="0.2">
      <c r="A59" s="1">
        <v>45962</v>
      </c>
      <c r="B59" s="2" t="s">
        <v>81</v>
      </c>
      <c r="C59" s="3" t="s">
        <v>24</v>
      </c>
      <c r="D59" s="4">
        <v>339425.41</v>
      </c>
      <c r="E59" s="4">
        <v>4023138.97</v>
      </c>
      <c r="F59" s="3" t="s">
        <v>88</v>
      </c>
      <c r="G59" s="3" t="s">
        <v>13</v>
      </c>
    </row>
    <row r="60" spans="1:7" x14ac:dyDescent="0.2">
      <c r="A60" s="10">
        <v>45962</v>
      </c>
      <c r="B60" s="11" t="s">
        <v>30</v>
      </c>
      <c r="C60" s="12" t="s">
        <v>11</v>
      </c>
      <c r="D60" s="13">
        <v>-8982.16</v>
      </c>
      <c r="E60" s="13">
        <v>4014156.81</v>
      </c>
      <c r="F60" s="12" t="s">
        <v>89</v>
      </c>
      <c r="G60" s="12" t="s">
        <v>9</v>
      </c>
    </row>
    <row r="61" spans="1:7" x14ac:dyDescent="0.2">
      <c r="A61" s="1">
        <v>45962</v>
      </c>
      <c r="B61" s="2" t="s">
        <v>18</v>
      </c>
      <c r="C61" s="3" t="s">
        <v>8</v>
      </c>
      <c r="D61" s="4">
        <v>-3553.15</v>
      </c>
      <c r="E61" s="4">
        <v>4010603.66</v>
      </c>
      <c r="F61" s="3" t="s">
        <v>90</v>
      </c>
      <c r="G61" s="3" t="s">
        <v>21</v>
      </c>
    </row>
    <row r="62" spans="1:7" x14ac:dyDescent="0.2">
      <c r="A62" s="10">
        <v>45963</v>
      </c>
      <c r="B62" s="11" t="s">
        <v>15</v>
      </c>
      <c r="C62" s="12" t="s">
        <v>8</v>
      </c>
      <c r="D62" s="13">
        <v>-62694.89</v>
      </c>
      <c r="E62" s="13">
        <v>3947908.77</v>
      </c>
      <c r="F62" s="12" t="s">
        <v>91</v>
      </c>
      <c r="G62" s="12" t="s">
        <v>9</v>
      </c>
    </row>
    <row r="63" spans="1:7" x14ac:dyDescent="0.2">
      <c r="A63" s="1">
        <v>45964</v>
      </c>
      <c r="B63" s="2" t="s">
        <v>10</v>
      </c>
      <c r="C63" s="3" t="s">
        <v>11</v>
      </c>
      <c r="D63" s="4">
        <v>-43414.15</v>
      </c>
      <c r="E63" s="4">
        <v>3904494.62</v>
      </c>
      <c r="F63" s="3" t="s">
        <v>92</v>
      </c>
      <c r="G63" s="3" t="s">
        <v>9</v>
      </c>
    </row>
    <row r="64" spans="1:7" x14ac:dyDescent="0.2">
      <c r="A64" s="10">
        <v>45964</v>
      </c>
      <c r="B64" s="11" t="s">
        <v>41</v>
      </c>
      <c r="C64" s="12" t="s">
        <v>14</v>
      </c>
      <c r="D64" s="13">
        <v>-19323.830000000002</v>
      </c>
      <c r="E64" s="13">
        <v>3885170.79</v>
      </c>
      <c r="F64" s="12" t="s">
        <v>93</v>
      </c>
      <c r="G64" s="12" t="s">
        <v>13</v>
      </c>
    </row>
    <row r="65" spans="1:7" x14ac:dyDescent="0.2">
      <c r="A65" s="1">
        <v>45964</v>
      </c>
      <c r="B65" s="2" t="s">
        <v>81</v>
      </c>
      <c r="C65" s="3" t="s">
        <v>45</v>
      </c>
      <c r="D65" s="4">
        <v>92223.29</v>
      </c>
      <c r="E65" s="4">
        <v>3977394.08</v>
      </c>
      <c r="F65" s="3" t="s">
        <v>94</v>
      </c>
      <c r="G65" s="3" t="s">
        <v>9</v>
      </c>
    </row>
    <row r="66" spans="1:7" x14ac:dyDescent="0.2">
      <c r="A66" s="10">
        <v>45964</v>
      </c>
      <c r="B66" s="11" t="s">
        <v>49</v>
      </c>
      <c r="C66" s="12" t="s">
        <v>55</v>
      </c>
      <c r="D66" s="13">
        <v>211118.54</v>
      </c>
      <c r="E66" s="13">
        <v>4188512.62</v>
      </c>
      <c r="F66" s="12" t="s">
        <v>95</v>
      </c>
      <c r="G66" s="12" t="s">
        <v>9</v>
      </c>
    </row>
    <row r="67" spans="1:7" x14ac:dyDescent="0.2">
      <c r="A67" s="1">
        <v>45964</v>
      </c>
      <c r="B67" s="2" t="s">
        <v>38</v>
      </c>
      <c r="C67" s="3" t="s">
        <v>39</v>
      </c>
      <c r="D67" s="4">
        <v>-253162.74</v>
      </c>
      <c r="E67" s="4">
        <v>3935349.88</v>
      </c>
      <c r="F67" s="3" t="s">
        <v>96</v>
      </c>
      <c r="G67" s="3" t="s">
        <v>9</v>
      </c>
    </row>
    <row r="68" spans="1:7" x14ac:dyDescent="0.2">
      <c r="A68" s="10">
        <v>45965</v>
      </c>
      <c r="B68" s="11" t="s">
        <v>81</v>
      </c>
      <c r="C68" s="12" t="s">
        <v>24</v>
      </c>
      <c r="D68" s="13">
        <v>146600.76999999999</v>
      </c>
      <c r="E68" s="13">
        <v>4081950.65</v>
      </c>
      <c r="F68" s="12"/>
      <c r="G68" s="12" t="s">
        <v>13</v>
      </c>
    </row>
    <row r="69" spans="1:7" x14ac:dyDescent="0.2">
      <c r="A69" s="1">
        <v>45965</v>
      </c>
      <c r="B69" s="2" t="s">
        <v>97</v>
      </c>
      <c r="C69" s="3" t="s">
        <v>11</v>
      </c>
      <c r="D69" s="4">
        <v>-4079.66</v>
      </c>
      <c r="E69" s="4">
        <v>4077870.99</v>
      </c>
      <c r="F69" s="3"/>
      <c r="G69" s="3" t="s">
        <v>13</v>
      </c>
    </row>
    <row r="70" spans="1:7" x14ac:dyDescent="0.2">
      <c r="A70" s="10">
        <v>45965</v>
      </c>
      <c r="B70" s="11" t="s">
        <v>83</v>
      </c>
      <c r="C70" s="12" t="s">
        <v>11</v>
      </c>
      <c r="D70" s="13">
        <v>-27514.880000000001</v>
      </c>
      <c r="E70" s="13">
        <v>4050356.11</v>
      </c>
      <c r="F70" s="12" t="s">
        <v>98</v>
      </c>
      <c r="G70" s="12" t="s">
        <v>21</v>
      </c>
    </row>
    <row r="71" spans="1:7" x14ac:dyDescent="0.2">
      <c r="A71" s="1">
        <v>45966</v>
      </c>
      <c r="B71" s="2" t="s">
        <v>43</v>
      </c>
      <c r="C71" s="3" t="s">
        <v>8</v>
      </c>
      <c r="D71" s="4">
        <v>-12591.32</v>
      </c>
      <c r="E71" s="4">
        <v>4037764.79</v>
      </c>
      <c r="F71" s="3" t="s">
        <v>99</v>
      </c>
      <c r="G71" s="3" t="s">
        <v>9</v>
      </c>
    </row>
    <row r="72" spans="1:7" x14ac:dyDescent="0.2">
      <c r="A72" s="10">
        <v>45966</v>
      </c>
      <c r="B72" s="11" t="s">
        <v>83</v>
      </c>
      <c r="C72" s="12" t="s">
        <v>14</v>
      </c>
      <c r="D72" s="13">
        <v>-42074.05</v>
      </c>
      <c r="E72" s="13">
        <v>3995690.74</v>
      </c>
      <c r="F72" s="12" t="s">
        <v>100</v>
      </c>
      <c r="G72" s="12" t="s">
        <v>9</v>
      </c>
    </row>
    <row r="73" spans="1:7" x14ac:dyDescent="0.2">
      <c r="A73" s="1">
        <v>45966</v>
      </c>
      <c r="B73" s="2" t="s">
        <v>70</v>
      </c>
      <c r="C73" s="3" t="s">
        <v>55</v>
      </c>
      <c r="D73" s="4">
        <v>296201.78999999998</v>
      </c>
      <c r="E73" s="4">
        <v>4291892.53</v>
      </c>
      <c r="F73" s="3" t="s">
        <v>101</v>
      </c>
      <c r="G73" s="3" t="s">
        <v>13</v>
      </c>
    </row>
    <row r="74" spans="1:7" x14ac:dyDescent="0.2">
      <c r="A74" s="10">
        <v>45966</v>
      </c>
      <c r="B74" s="11" t="s">
        <v>102</v>
      </c>
      <c r="C74" s="12" t="s">
        <v>24</v>
      </c>
      <c r="D74" s="13">
        <v>169598.81</v>
      </c>
      <c r="E74" s="13">
        <v>4461491.34</v>
      </c>
      <c r="F74" s="12" t="s">
        <v>103</v>
      </c>
      <c r="G74" s="12" t="s">
        <v>9</v>
      </c>
    </row>
    <row r="75" spans="1:7" x14ac:dyDescent="0.2">
      <c r="A75" s="1">
        <v>45966</v>
      </c>
      <c r="B75" s="2" t="s">
        <v>30</v>
      </c>
      <c r="C75" s="3" t="s">
        <v>8</v>
      </c>
      <c r="D75" s="4">
        <v>-24539.59</v>
      </c>
      <c r="E75" s="4">
        <v>4436951.75</v>
      </c>
      <c r="F75" s="3" t="s">
        <v>104</v>
      </c>
      <c r="G75" s="3" t="s">
        <v>9</v>
      </c>
    </row>
    <row r="76" spans="1:7" x14ac:dyDescent="0.2">
      <c r="A76" s="10">
        <v>45967</v>
      </c>
      <c r="B76" s="11" t="s">
        <v>70</v>
      </c>
      <c r="C76" s="12" t="s">
        <v>55</v>
      </c>
      <c r="D76" s="13">
        <v>267938.09000000003</v>
      </c>
      <c r="E76" s="13">
        <v>4704889.84</v>
      </c>
      <c r="F76" s="12" t="s">
        <v>105</v>
      </c>
      <c r="G76" s="12" t="s">
        <v>21</v>
      </c>
    </row>
    <row r="77" spans="1:7" x14ac:dyDescent="0.2">
      <c r="A77" s="1">
        <v>45967</v>
      </c>
      <c r="B77" s="2" t="s">
        <v>60</v>
      </c>
      <c r="C77" s="3" t="s">
        <v>26</v>
      </c>
      <c r="D77" s="4">
        <v>-20156.98</v>
      </c>
      <c r="E77" s="4">
        <v>4684732.8600000003</v>
      </c>
      <c r="F77" s="3" t="s">
        <v>106</v>
      </c>
      <c r="G77" s="3" t="s">
        <v>9</v>
      </c>
    </row>
    <row r="78" spans="1:7" x14ac:dyDescent="0.2">
      <c r="A78" s="10">
        <v>45967</v>
      </c>
      <c r="B78" s="11" t="s">
        <v>75</v>
      </c>
      <c r="C78" s="12" t="s">
        <v>19</v>
      </c>
      <c r="D78" s="13">
        <v>-36185.97</v>
      </c>
      <c r="E78" s="13">
        <v>4648546.8899999997</v>
      </c>
      <c r="F78" s="12" t="s">
        <v>107</v>
      </c>
      <c r="G78" s="12" t="s">
        <v>21</v>
      </c>
    </row>
    <row r="79" spans="1:7" x14ac:dyDescent="0.2">
      <c r="A79" s="1">
        <v>45968</v>
      </c>
      <c r="B79" s="2" t="s">
        <v>41</v>
      </c>
      <c r="C79" s="3" t="s">
        <v>26</v>
      </c>
      <c r="D79" s="4">
        <v>-42944.81</v>
      </c>
      <c r="E79" s="4">
        <v>4605602.08</v>
      </c>
      <c r="F79" s="3" t="s">
        <v>108</v>
      </c>
      <c r="G79" s="3" t="s">
        <v>21</v>
      </c>
    </row>
    <row r="80" spans="1:7" x14ac:dyDescent="0.2">
      <c r="A80" s="10">
        <v>45968</v>
      </c>
      <c r="B80" s="11" t="s">
        <v>109</v>
      </c>
      <c r="C80" s="12" t="s">
        <v>45</v>
      </c>
      <c r="D80" s="13">
        <v>7348.08</v>
      </c>
      <c r="E80" s="13">
        <v>4612950.16</v>
      </c>
      <c r="F80" s="12" t="s">
        <v>110</v>
      </c>
      <c r="G80" s="12" t="s">
        <v>9</v>
      </c>
    </row>
    <row r="81" spans="1:7" x14ac:dyDescent="0.2">
      <c r="A81" s="1">
        <v>45968</v>
      </c>
      <c r="B81" s="2" t="s">
        <v>10</v>
      </c>
      <c r="C81" s="3" t="s">
        <v>11</v>
      </c>
      <c r="D81" s="4">
        <v>-4913.4399999999996</v>
      </c>
      <c r="E81" s="4">
        <v>4608036.72</v>
      </c>
      <c r="F81" s="3" t="s">
        <v>111</v>
      </c>
      <c r="G81" s="3" t="s">
        <v>21</v>
      </c>
    </row>
    <row r="82" spans="1:7" x14ac:dyDescent="0.2">
      <c r="A82" s="10">
        <v>45969</v>
      </c>
      <c r="B82" s="11" t="s">
        <v>18</v>
      </c>
      <c r="C82" s="12" t="s">
        <v>11</v>
      </c>
      <c r="D82" s="13">
        <v>-39004.1</v>
      </c>
      <c r="E82" s="13">
        <v>4569032.62</v>
      </c>
      <c r="F82" s="12" t="s">
        <v>112</v>
      </c>
      <c r="G82" s="12" t="s">
        <v>9</v>
      </c>
    </row>
    <row r="83" spans="1:7" x14ac:dyDescent="0.2">
      <c r="A83" s="1">
        <v>45969</v>
      </c>
      <c r="B83" s="2" t="s">
        <v>15</v>
      </c>
      <c r="C83" s="3" t="s">
        <v>26</v>
      </c>
      <c r="D83" s="4">
        <v>-84915.21</v>
      </c>
      <c r="E83" s="4">
        <v>4484117.41</v>
      </c>
      <c r="F83" s="3" t="s">
        <v>113</v>
      </c>
      <c r="G83" s="3" t="s">
        <v>9</v>
      </c>
    </row>
    <row r="84" spans="1:7" x14ac:dyDescent="0.2">
      <c r="A84" s="10">
        <v>45970</v>
      </c>
      <c r="B84" s="11" t="s">
        <v>17</v>
      </c>
      <c r="C84" s="12" t="s">
        <v>11</v>
      </c>
      <c r="D84" s="13">
        <v>-42395.44</v>
      </c>
      <c r="E84" s="13">
        <v>4441721.97</v>
      </c>
      <c r="F84" s="12" t="s">
        <v>114</v>
      </c>
      <c r="G84" s="12" t="s">
        <v>9</v>
      </c>
    </row>
    <row r="85" spans="1:7" x14ac:dyDescent="0.2">
      <c r="A85" s="1">
        <v>45970</v>
      </c>
      <c r="B85" s="2" t="s">
        <v>115</v>
      </c>
      <c r="C85" s="3" t="s">
        <v>19</v>
      </c>
      <c r="D85" s="4">
        <v>-82606.53</v>
      </c>
      <c r="E85" s="4">
        <v>4359115.4400000004</v>
      </c>
      <c r="F85" s="3"/>
      <c r="G85" s="3" t="s">
        <v>9</v>
      </c>
    </row>
    <row r="86" spans="1:7" x14ac:dyDescent="0.2">
      <c r="A86" s="10">
        <v>45970</v>
      </c>
      <c r="B86" s="11" t="s">
        <v>18</v>
      </c>
      <c r="C86" s="12" t="s">
        <v>14</v>
      </c>
      <c r="D86" s="13">
        <v>-20042.330000000002</v>
      </c>
      <c r="E86" s="13">
        <v>4339073.1100000003</v>
      </c>
      <c r="F86" s="12" t="s">
        <v>116</v>
      </c>
      <c r="G86" s="12" t="s">
        <v>13</v>
      </c>
    </row>
    <row r="87" spans="1:7" x14ac:dyDescent="0.2">
      <c r="A87" s="1">
        <v>45970</v>
      </c>
      <c r="B87" s="2" t="s">
        <v>115</v>
      </c>
      <c r="C87" s="3" t="s">
        <v>19</v>
      </c>
      <c r="D87" s="4">
        <v>-46891.67</v>
      </c>
      <c r="E87" s="4">
        <v>4292181.4400000004</v>
      </c>
      <c r="F87" s="3"/>
      <c r="G87" s="3" t="s">
        <v>9</v>
      </c>
    </row>
    <row r="88" spans="1:7" x14ac:dyDescent="0.2">
      <c r="A88" s="10">
        <v>45971</v>
      </c>
      <c r="B88" s="11" t="s">
        <v>31</v>
      </c>
      <c r="C88" s="12" t="s">
        <v>55</v>
      </c>
      <c r="D88" s="13">
        <v>71986.64</v>
      </c>
      <c r="E88" s="13">
        <v>4364168.08</v>
      </c>
      <c r="F88" s="12" t="s">
        <v>117</v>
      </c>
      <c r="G88" s="12" t="s">
        <v>9</v>
      </c>
    </row>
    <row r="89" spans="1:7" x14ac:dyDescent="0.2">
      <c r="A89" s="1">
        <v>45971</v>
      </c>
      <c r="B89" s="2" t="s">
        <v>49</v>
      </c>
      <c r="C89" s="3" t="s">
        <v>45</v>
      </c>
      <c r="D89" s="4">
        <v>328936.2</v>
      </c>
      <c r="E89" s="4">
        <v>4693104.28</v>
      </c>
      <c r="F89" s="3" t="s">
        <v>118</v>
      </c>
      <c r="G89" s="3" t="s">
        <v>21</v>
      </c>
    </row>
    <row r="90" spans="1:7" x14ac:dyDescent="0.2">
      <c r="A90" s="10">
        <v>45971</v>
      </c>
      <c r="B90" s="11" t="s">
        <v>15</v>
      </c>
      <c r="C90" s="12" t="s">
        <v>14</v>
      </c>
      <c r="D90" s="13">
        <v>-47458.06</v>
      </c>
      <c r="E90" s="13">
        <v>4645646.22</v>
      </c>
      <c r="F90" s="12" t="s">
        <v>119</v>
      </c>
      <c r="G90" s="12" t="s">
        <v>9</v>
      </c>
    </row>
    <row r="91" spans="1:7" x14ac:dyDescent="0.2">
      <c r="A91" s="1">
        <v>45972</v>
      </c>
      <c r="B91" s="2" t="s">
        <v>43</v>
      </c>
      <c r="C91" s="3" t="s">
        <v>19</v>
      </c>
      <c r="D91" s="4">
        <v>-6164.31</v>
      </c>
      <c r="E91" s="4">
        <v>4639481.91</v>
      </c>
      <c r="F91" s="3" t="s">
        <v>120</v>
      </c>
      <c r="G91" s="3" t="s">
        <v>9</v>
      </c>
    </row>
    <row r="92" spans="1:7" x14ac:dyDescent="0.2">
      <c r="A92" s="10">
        <v>45972</v>
      </c>
      <c r="B92" s="11" t="s">
        <v>62</v>
      </c>
      <c r="C92" s="12" t="s">
        <v>45</v>
      </c>
      <c r="D92" s="13">
        <v>303580.63</v>
      </c>
      <c r="E92" s="13">
        <v>4943062.54</v>
      </c>
      <c r="F92" s="12" t="s">
        <v>121</v>
      </c>
      <c r="G92" s="12" t="s">
        <v>9</v>
      </c>
    </row>
    <row r="93" spans="1:7" x14ac:dyDescent="0.2">
      <c r="A93" s="1">
        <v>45972</v>
      </c>
      <c r="B93" s="2" t="s">
        <v>15</v>
      </c>
      <c r="C93" s="3" t="s">
        <v>26</v>
      </c>
      <c r="D93" s="4">
        <v>-38735.46</v>
      </c>
      <c r="E93" s="4">
        <v>4904327.08</v>
      </c>
      <c r="F93" s="3" t="s">
        <v>122</v>
      </c>
      <c r="G93" s="3" t="s">
        <v>21</v>
      </c>
    </row>
    <row r="94" spans="1:7" x14ac:dyDescent="0.2">
      <c r="A94" s="10">
        <v>45972</v>
      </c>
      <c r="B94" s="11" t="s">
        <v>60</v>
      </c>
      <c r="C94" s="12" t="s">
        <v>8</v>
      </c>
      <c r="D94" s="13">
        <v>-6381.11</v>
      </c>
      <c r="E94" s="13">
        <v>4897945.97</v>
      </c>
      <c r="F94" s="12" t="s">
        <v>123</v>
      </c>
      <c r="G94" s="12" t="s">
        <v>21</v>
      </c>
    </row>
    <row r="95" spans="1:7" x14ac:dyDescent="0.2">
      <c r="A95" s="1">
        <v>45973</v>
      </c>
      <c r="B95" s="2" t="s">
        <v>83</v>
      </c>
      <c r="C95" s="3" t="s">
        <v>26</v>
      </c>
      <c r="D95" s="4">
        <v>-9704.1299999999992</v>
      </c>
      <c r="E95" s="4">
        <v>4888241.84</v>
      </c>
      <c r="F95" s="3" t="s">
        <v>124</v>
      </c>
      <c r="G95" s="3" t="s">
        <v>9</v>
      </c>
    </row>
    <row r="96" spans="1:7" x14ac:dyDescent="0.2">
      <c r="A96" s="10">
        <v>45973</v>
      </c>
      <c r="B96" s="11" t="s">
        <v>7</v>
      </c>
      <c r="C96" s="12" t="s">
        <v>11</v>
      </c>
      <c r="D96" s="13">
        <v>-20762.84</v>
      </c>
      <c r="E96" s="13">
        <v>4867479</v>
      </c>
      <c r="F96" s="12" t="s">
        <v>125</v>
      </c>
      <c r="G96" s="12" t="s">
        <v>9</v>
      </c>
    </row>
    <row r="97" spans="1:7" x14ac:dyDescent="0.2">
      <c r="A97" s="1">
        <v>45974</v>
      </c>
      <c r="B97" s="2" t="s">
        <v>58</v>
      </c>
      <c r="C97" s="3" t="s">
        <v>24</v>
      </c>
      <c r="D97" s="4">
        <v>137694.21</v>
      </c>
      <c r="E97" s="4">
        <v>5005173.21</v>
      </c>
      <c r="F97" s="3" t="s">
        <v>126</v>
      </c>
      <c r="G97" s="3" t="s">
        <v>9</v>
      </c>
    </row>
    <row r="98" spans="1:7" x14ac:dyDescent="0.2">
      <c r="A98" s="10">
        <v>45974</v>
      </c>
      <c r="B98" s="11" t="s">
        <v>17</v>
      </c>
      <c r="C98" s="12" t="s">
        <v>8</v>
      </c>
      <c r="D98" s="13">
        <v>-37902.5</v>
      </c>
      <c r="E98" s="13">
        <v>4967270.71</v>
      </c>
      <c r="F98" s="12" t="s">
        <v>127</v>
      </c>
      <c r="G98" s="12" t="s">
        <v>21</v>
      </c>
    </row>
    <row r="99" spans="1:7" x14ac:dyDescent="0.2">
      <c r="A99" s="1">
        <v>45974</v>
      </c>
      <c r="B99" s="2" t="s">
        <v>17</v>
      </c>
      <c r="C99" s="3" t="s">
        <v>14</v>
      </c>
      <c r="D99" s="4">
        <v>-33964.44</v>
      </c>
      <c r="E99" s="4">
        <v>4933306.2699999996</v>
      </c>
      <c r="F99" s="3" t="s">
        <v>128</v>
      </c>
      <c r="G99" s="3" t="s">
        <v>9</v>
      </c>
    </row>
    <row r="100" spans="1:7" x14ac:dyDescent="0.2">
      <c r="A100" s="10">
        <v>45975</v>
      </c>
      <c r="B100" s="11" t="s">
        <v>17</v>
      </c>
      <c r="C100" s="12" t="s">
        <v>19</v>
      </c>
      <c r="D100" s="13">
        <v>-15236.17</v>
      </c>
      <c r="E100" s="13">
        <v>4918070.0999999996</v>
      </c>
      <c r="F100" s="12"/>
      <c r="G100" s="12" t="s">
        <v>9</v>
      </c>
    </row>
    <row r="101" spans="1:7" x14ac:dyDescent="0.2">
      <c r="A101" s="1">
        <v>45975</v>
      </c>
      <c r="B101" s="2" t="s">
        <v>15</v>
      </c>
      <c r="C101" s="3" t="s">
        <v>14</v>
      </c>
      <c r="D101" s="4">
        <v>-29137.4</v>
      </c>
      <c r="E101" s="4">
        <v>4888932.7</v>
      </c>
      <c r="F101" s="3" t="s">
        <v>129</v>
      </c>
      <c r="G101" s="3" t="s">
        <v>13</v>
      </c>
    </row>
    <row r="102" spans="1:7" x14ac:dyDescent="0.2">
      <c r="A102" s="10">
        <v>45976</v>
      </c>
      <c r="B102" s="11" t="s">
        <v>41</v>
      </c>
      <c r="C102" s="12" t="s">
        <v>26</v>
      </c>
      <c r="D102" s="13">
        <v>-30464.720000000001</v>
      </c>
      <c r="E102" s="13">
        <v>4858467.9800000004</v>
      </c>
      <c r="F102" s="12" t="s">
        <v>130</v>
      </c>
      <c r="G102" s="12" t="s">
        <v>9</v>
      </c>
    </row>
    <row r="103" spans="1:7" x14ac:dyDescent="0.2">
      <c r="A103" s="1">
        <v>45977</v>
      </c>
      <c r="B103" s="2" t="s">
        <v>115</v>
      </c>
      <c r="C103" s="3" t="s">
        <v>14</v>
      </c>
      <c r="D103" s="4">
        <v>-37604.589999999997</v>
      </c>
      <c r="E103" s="4">
        <v>4820863.3899999997</v>
      </c>
      <c r="F103" s="3" t="s">
        <v>131</v>
      </c>
      <c r="G103" s="3" t="s">
        <v>9</v>
      </c>
    </row>
    <row r="104" spans="1:7" x14ac:dyDescent="0.2">
      <c r="A104" s="10">
        <v>45978</v>
      </c>
      <c r="B104" s="11" t="s">
        <v>7</v>
      </c>
      <c r="C104" s="12" t="s">
        <v>19</v>
      </c>
      <c r="D104" s="13">
        <v>-41372.959999999999</v>
      </c>
      <c r="E104" s="13">
        <v>4779490.43</v>
      </c>
      <c r="F104" s="12" t="s">
        <v>132</v>
      </c>
      <c r="G104" s="12" t="s">
        <v>9</v>
      </c>
    </row>
    <row r="105" spans="1:7" x14ac:dyDescent="0.2">
      <c r="A105" s="1">
        <v>45978</v>
      </c>
      <c r="B105" s="2" t="s">
        <v>75</v>
      </c>
      <c r="C105" s="3" t="s">
        <v>19</v>
      </c>
      <c r="D105" s="4">
        <v>-18836.3</v>
      </c>
      <c r="E105" s="4">
        <v>4760654.13</v>
      </c>
      <c r="F105" s="3" t="s">
        <v>133</v>
      </c>
      <c r="G105" s="3" t="s">
        <v>9</v>
      </c>
    </row>
    <row r="106" spans="1:7" x14ac:dyDescent="0.2">
      <c r="A106" s="10">
        <v>45978</v>
      </c>
      <c r="B106" s="11" t="s">
        <v>134</v>
      </c>
      <c r="C106" s="12" t="s">
        <v>55</v>
      </c>
      <c r="D106" s="13">
        <v>1500000</v>
      </c>
      <c r="E106" s="13">
        <v>6260654.1299999999</v>
      </c>
      <c r="F106" s="12" t="s">
        <v>135</v>
      </c>
      <c r="G106" s="12" t="s">
        <v>21</v>
      </c>
    </row>
    <row r="107" spans="1:7" x14ac:dyDescent="0.2">
      <c r="A107" s="1">
        <v>45982</v>
      </c>
      <c r="B107" s="2" t="s">
        <v>38</v>
      </c>
      <c r="C107" s="3" t="s">
        <v>39</v>
      </c>
      <c r="D107" s="4">
        <v>-187620.02</v>
      </c>
      <c r="E107" s="4">
        <v>6073034.1100000003</v>
      </c>
      <c r="F107" s="3" t="s">
        <v>136</v>
      </c>
      <c r="G107" s="3" t="s">
        <v>9</v>
      </c>
    </row>
    <row r="108" spans="1:7" x14ac:dyDescent="0.2">
      <c r="A108" s="10">
        <v>45982</v>
      </c>
      <c r="B108" s="11" t="s">
        <v>65</v>
      </c>
      <c r="C108" s="12" t="s">
        <v>8</v>
      </c>
      <c r="D108" s="13">
        <v>-13149.54</v>
      </c>
      <c r="E108" s="13">
        <v>6059884.5700000003</v>
      </c>
      <c r="F108" s="12" t="s">
        <v>137</v>
      </c>
      <c r="G108" s="12" t="s">
        <v>13</v>
      </c>
    </row>
    <row r="109" spans="1:7" x14ac:dyDescent="0.2">
      <c r="A109" s="1">
        <v>45982</v>
      </c>
      <c r="B109" s="2" t="s">
        <v>43</v>
      </c>
      <c r="C109" s="3" t="s">
        <v>19</v>
      </c>
      <c r="D109" s="4">
        <v>-16921.41</v>
      </c>
      <c r="E109" s="4">
        <v>6042963.1600000001</v>
      </c>
      <c r="F109" s="3" t="s">
        <v>138</v>
      </c>
      <c r="G109" s="3" t="s">
        <v>13</v>
      </c>
    </row>
    <row r="110" spans="1:7" x14ac:dyDescent="0.2">
      <c r="A110" s="10">
        <v>45983</v>
      </c>
      <c r="B110" s="11" t="s">
        <v>139</v>
      </c>
      <c r="C110" s="12" t="s">
        <v>11</v>
      </c>
      <c r="D110" s="13">
        <v>-40658.71</v>
      </c>
      <c r="E110" s="13">
        <v>6002304.4500000002</v>
      </c>
      <c r="F110" s="12" t="s">
        <v>140</v>
      </c>
      <c r="G110" s="12" t="s">
        <v>13</v>
      </c>
    </row>
    <row r="111" spans="1:7" x14ac:dyDescent="0.2">
      <c r="A111" s="1">
        <v>45983</v>
      </c>
      <c r="B111" s="2" t="s">
        <v>70</v>
      </c>
      <c r="C111" s="3" t="s">
        <v>24</v>
      </c>
      <c r="D111" s="4">
        <v>176427.3</v>
      </c>
      <c r="E111" s="4">
        <v>6178731.75</v>
      </c>
      <c r="F111" s="3"/>
      <c r="G111" s="3" t="s">
        <v>9</v>
      </c>
    </row>
    <row r="112" spans="1:7" x14ac:dyDescent="0.2">
      <c r="A112" s="10">
        <v>45983</v>
      </c>
      <c r="B112" s="11" t="s">
        <v>30</v>
      </c>
      <c r="C112" s="12" t="s">
        <v>26</v>
      </c>
      <c r="D112" s="13">
        <v>-21392.33</v>
      </c>
      <c r="E112" s="13">
        <v>6157339.4199999999</v>
      </c>
      <c r="F112" s="12" t="s">
        <v>141</v>
      </c>
      <c r="G112" s="12" t="s">
        <v>21</v>
      </c>
    </row>
    <row r="113" spans="1:7" x14ac:dyDescent="0.2">
      <c r="A113" s="1">
        <v>45986</v>
      </c>
      <c r="B113" s="2" t="s">
        <v>18</v>
      </c>
      <c r="C113" s="3" t="s">
        <v>14</v>
      </c>
      <c r="D113" s="4">
        <v>-14842.55</v>
      </c>
      <c r="E113" s="4">
        <v>6142496.8700000001</v>
      </c>
      <c r="F113" s="3" t="s">
        <v>142</v>
      </c>
      <c r="G113" s="3" t="s">
        <v>9</v>
      </c>
    </row>
    <row r="114" spans="1:7" x14ac:dyDescent="0.2">
      <c r="A114" s="10">
        <v>45988</v>
      </c>
      <c r="B114" s="11" t="s">
        <v>15</v>
      </c>
      <c r="C114" s="12" t="s">
        <v>8</v>
      </c>
      <c r="D114" s="13">
        <v>-66888.36</v>
      </c>
      <c r="E114" s="13">
        <v>6075608.5099999998</v>
      </c>
      <c r="F114" s="12" t="s">
        <v>143</v>
      </c>
      <c r="G114" s="12" t="s">
        <v>9</v>
      </c>
    </row>
    <row r="115" spans="1:7" x14ac:dyDescent="0.2">
      <c r="A115" s="1">
        <v>45988</v>
      </c>
      <c r="B115" s="2" t="s">
        <v>85</v>
      </c>
      <c r="C115" s="3" t="s">
        <v>55</v>
      </c>
      <c r="D115" s="4">
        <v>232705.38</v>
      </c>
      <c r="E115" s="4">
        <v>6308313.8899999997</v>
      </c>
      <c r="F115" s="3" t="s">
        <v>144</v>
      </c>
      <c r="G115" s="3" t="s">
        <v>13</v>
      </c>
    </row>
    <row r="116" spans="1:7" x14ac:dyDescent="0.2">
      <c r="A116" s="10">
        <v>45988</v>
      </c>
      <c r="B116" s="11" t="s">
        <v>10</v>
      </c>
      <c r="C116" s="12" t="s">
        <v>26</v>
      </c>
      <c r="D116" s="13">
        <v>-32862.31</v>
      </c>
      <c r="E116" s="13">
        <v>6275451.5800000001</v>
      </c>
      <c r="F116" s="12" t="s">
        <v>145</v>
      </c>
      <c r="G116" s="12" t="s">
        <v>21</v>
      </c>
    </row>
    <row r="117" spans="1:7" x14ac:dyDescent="0.2">
      <c r="A117" s="1">
        <v>45989</v>
      </c>
      <c r="B117" s="2" t="s">
        <v>17</v>
      </c>
      <c r="C117" s="3" t="s">
        <v>26</v>
      </c>
      <c r="D117" s="4">
        <v>-25065.81</v>
      </c>
      <c r="E117" s="4">
        <v>6250385.7699999996</v>
      </c>
      <c r="F117" s="3" t="s">
        <v>146</v>
      </c>
      <c r="G117" s="3" t="s">
        <v>9</v>
      </c>
    </row>
    <row r="118" spans="1:7" x14ac:dyDescent="0.2">
      <c r="A118" s="10">
        <v>45989</v>
      </c>
      <c r="B118" s="11" t="s">
        <v>51</v>
      </c>
      <c r="C118" s="12" t="s">
        <v>52</v>
      </c>
      <c r="D118" s="13">
        <v>9506.81</v>
      </c>
      <c r="E118" s="13">
        <v>6259892.5800000001</v>
      </c>
      <c r="F118" s="12" t="s">
        <v>147</v>
      </c>
      <c r="G118" s="12" t="s">
        <v>9</v>
      </c>
    </row>
    <row r="119" spans="1:7" x14ac:dyDescent="0.2">
      <c r="A119" s="1">
        <v>45989</v>
      </c>
      <c r="B119" s="2" t="s">
        <v>38</v>
      </c>
      <c r="C119" s="3" t="s">
        <v>39</v>
      </c>
      <c r="D119" s="4">
        <v>-138887.04999999999</v>
      </c>
      <c r="E119" s="4">
        <v>6121005.5300000003</v>
      </c>
      <c r="F119" s="3" t="s">
        <v>148</v>
      </c>
      <c r="G119" s="3" t="s">
        <v>13</v>
      </c>
    </row>
    <row r="120" spans="1:7" x14ac:dyDescent="0.2">
      <c r="A120" s="10">
        <v>45989</v>
      </c>
      <c r="B120" s="11" t="s">
        <v>102</v>
      </c>
      <c r="C120" s="12" t="s">
        <v>45</v>
      </c>
      <c r="D120" s="13">
        <v>274763.28000000003</v>
      </c>
      <c r="E120" s="13">
        <v>6395768.8099999996</v>
      </c>
      <c r="F120" s="12" t="s">
        <v>149</v>
      </c>
      <c r="G120" s="12" t="s">
        <v>21</v>
      </c>
    </row>
    <row r="121" spans="1:7" x14ac:dyDescent="0.2">
      <c r="A121" s="1">
        <v>45990</v>
      </c>
      <c r="B121" s="2" t="s">
        <v>38</v>
      </c>
      <c r="C121" s="3" t="s">
        <v>39</v>
      </c>
      <c r="D121" s="4">
        <v>-143923.03</v>
      </c>
      <c r="E121" s="4">
        <v>6251845.7800000003</v>
      </c>
      <c r="F121" s="3" t="s">
        <v>150</v>
      </c>
      <c r="G121" s="3" t="s">
        <v>9</v>
      </c>
    </row>
    <row r="122" spans="1:7" x14ac:dyDescent="0.2">
      <c r="A122" s="10">
        <v>45990</v>
      </c>
      <c r="B122" s="11" t="s">
        <v>139</v>
      </c>
      <c r="C122" s="12" t="s">
        <v>19</v>
      </c>
      <c r="D122" s="13">
        <v>-16599.18</v>
      </c>
      <c r="E122" s="13">
        <v>6235246.5999999996</v>
      </c>
      <c r="F122" s="12" t="s">
        <v>151</v>
      </c>
      <c r="G122" s="12" t="s">
        <v>13</v>
      </c>
    </row>
    <row r="123" spans="1:7" x14ac:dyDescent="0.2">
      <c r="A123" s="1">
        <v>45991</v>
      </c>
      <c r="B123" s="2" t="s">
        <v>85</v>
      </c>
      <c r="C123" s="3" t="s">
        <v>45</v>
      </c>
      <c r="D123" s="4">
        <v>73974.95</v>
      </c>
      <c r="E123" s="4">
        <v>6309221.5499999998</v>
      </c>
      <c r="F123" s="3"/>
      <c r="G123" s="3" t="s">
        <v>13</v>
      </c>
    </row>
    <row r="124" spans="1:7" x14ac:dyDescent="0.2">
      <c r="A124" s="10">
        <v>45991</v>
      </c>
      <c r="B124" s="11" t="s">
        <v>31</v>
      </c>
      <c r="C124" s="12" t="s">
        <v>24</v>
      </c>
      <c r="D124" s="13">
        <v>379965.16</v>
      </c>
      <c r="E124" s="13">
        <v>6689186.71</v>
      </c>
      <c r="F124" s="12" t="s">
        <v>152</v>
      </c>
      <c r="G124" s="12" t="s">
        <v>9</v>
      </c>
    </row>
    <row r="125" spans="1:7" x14ac:dyDescent="0.2">
      <c r="A125" s="1">
        <v>45991</v>
      </c>
      <c r="B125" s="2" t="s">
        <v>153</v>
      </c>
      <c r="C125" s="3" t="s">
        <v>8</v>
      </c>
      <c r="D125" s="4">
        <v>-43464.65</v>
      </c>
      <c r="E125" s="4">
        <v>6645722.0599999996</v>
      </c>
      <c r="F125" s="3" t="s">
        <v>154</v>
      </c>
      <c r="G125" s="3" t="s">
        <v>9</v>
      </c>
    </row>
    <row r="126" spans="1:7" x14ac:dyDescent="0.2">
      <c r="A126" s="10">
        <v>45991</v>
      </c>
      <c r="B126" s="11" t="s">
        <v>102</v>
      </c>
      <c r="C126" s="12" t="s">
        <v>45</v>
      </c>
      <c r="D126" s="13">
        <v>255310.47</v>
      </c>
      <c r="E126" s="13">
        <v>6901032.5300000003</v>
      </c>
      <c r="F126" s="12" t="s">
        <v>155</v>
      </c>
      <c r="G126" s="12" t="s">
        <v>13</v>
      </c>
    </row>
    <row r="127" spans="1:7" x14ac:dyDescent="0.2">
      <c r="A127" s="1">
        <v>45993</v>
      </c>
      <c r="B127" s="2" t="s">
        <v>7</v>
      </c>
      <c r="C127" s="3" t="s">
        <v>8</v>
      </c>
      <c r="D127" s="4">
        <v>-6213.42</v>
      </c>
      <c r="E127" s="4">
        <v>6894819.1100000003</v>
      </c>
      <c r="F127" s="3" t="s">
        <v>156</v>
      </c>
      <c r="G127" s="3" t="s">
        <v>9</v>
      </c>
    </row>
    <row r="128" spans="1:7" x14ac:dyDescent="0.2">
      <c r="A128" s="10">
        <v>45993</v>
      </c>
      <c r="B128" s="11" t="s">
        <v>102</v>
      </c>
      <c r="C128" s="12" t="s">
        <v>55</v>
      </c>
      <c r="D128" s="13">
        <v>339015.36</v>
      </c>
      <c r="E128" s="13">
        <v>7233834.4699999997</v>
      </c>
      <c r="F128" s="12" t="s">
        <v>157</v>
      </c>
      <c r="G128" s="12" t="s">
        <v>13</v>
      </c>
    </row>
    <row r="129" spans="1:7" x14ac:dyDescent="0.2">
      <c r="A129" s="1">
        <v>45993</v>
      </c>
      <c r="B129" s="2" t="s">
        <v>41</v>
      </c>
      <c r="C129" s="3" t="s">
        <v>26</v>
      </c>
      <c r="D129" s="4">
        <v>-40517.370000000003</v>
      </c>
      <c r="E129" s="4">
        <v>7193317.0999999996</v>
      </c>
      <c r="F129" s="3" t="s">
        <v>158</v>
      </c>
      <c r="G129" s="3" t="s">
        <v>9</v>
      </c>
    </row>
    <row r="130" spans="1:7" x14ac:dyDescent="0.2">
      <c r="A130" s="10">
        <v>45994</v>
      </c>
      <c r="B130" s="11" t="s">
        <v>31</v>
      </c>
      <c r="C130" s="12" t="s">
        <v>24</v>
      </c>
      <c r="D130" s="13">
        <v>59774.02</v>
      </c>
      <c r="E130" s="13">
        <v>7253091.1200000001</v>
      </c>
      <c r="F130" s="12" t="s">
        <v>159</v>
      </c>
      <c r="G130" s="12" t="s">
        <v>13</v>
      </c>
    </row>
    <row r="131" spans="1:7" x14ac:dyDescent="0.2">
      <c r="A131" s="1">
        <v>45994</v>
      </c>
      <c r="B131" s="2" t="s">
        <v>43</v>
      </c>
      <c r="C131" s="3" t="s">
        <v>19</v>
      </c>
      <c r="D131" s="4">
        <v>-31890.82</v>
      </c>
      <c r="E131" s="4">
        <v>7221200.2999999998</v>
      </c>
      <c r="F131" s="3" t="s">
        <v>160</v>
      </c>
      <c r="G131" s="3" t="s">
        <v>13</v>
      </c>
    </row>
    <row r="132" spans="1:7" x14ac:dyDescent="0.2">
      <c r="A132" s="10">
        <v>45995</v>
      </c>
      <c r="B132" s="11" t="s">
        <v>7</v>
      </c>
      <c r="C132" s="12" t="s">
        <v>11</v>
      </c>
      <c r="D132" s="13">
        <v>-40425.760000000002</v>
      </c>
      <c r="E132" s="13">
        <v>7180774.54</v>
      </c>
      <c r="F132" s="12" t="s">
        <v>161</v>
      </c>
      <c r="G132" s="12" t="s">
        <v>13</v>
      </c>
    </row>
    <row r="133" spans="1:7" x14ac:dyDescent="0.2">
      <c r="A133" s="1">
        <v>45995</v>
      </c>
      <c r="B133" s="2" t="s">
        <v>60</v>
      </c>
      <c r="C133" s="3" t="s">
        <v>14</v>
      </c>
      <c r="D133" s="4">
        <v>-41175.18</v>
      </c>
      <c r="E133" s="4">
        <v>7139599.3600000003</v>
      </c>
      <c r="F133" s="3" t="s">
        <v>162</v>
      </c>
      <c r="G133" s="3" t="s">
        <v>9</v>
      </c>
    </row>
    <row r="134" spans="1:7" x14ac:dyDescent="0.2">
      <c r="A134" s="10">
        <v>45997</v>
      </c>
      <c r="B134" s="11" t="s">
        <v>35</v>
      </c>
      <c r="C134" s="12" t="s">
        <v>8</v>
      </c>
      <c r="D134" s="13">
        <v>-44864.07</v>
      </c>
      <c r="E134" s="13">
        <v>7094735.29</v>
      </c>
      <c r="F134" s="12" t="s">
        <v>163</v>
      </c>
      <c r="G134" s="12" t="s">
        <v>9</v>
      </c>
    </row>
    <row r="135" spans="1:7" x14ac:dyDescent="0.2">
      <c r="A135" s="1">
        <v>45998</v>
      </c>
      <c r="B135" s="2" t="s">
        <v>49</v>
      </c>
      <c r="C135" s="3" t="s">
        <v>45</v>
      </c>
      <c r="D135" s="4">
        <v>171448.03</v>
      </c>
      <c r="E135" s="4">
        <v>7266183.3200000003</v>
      </c>
      <c r="F135" s="3" t="s">
        <v>164</v>
      </c>
      <c r="G135" s="3" t="s">
        <v>9</v>
      </c>
    </row>
    <row r="136" spans="1:7" x14ac:dyDescent="0.2">
      <c r="A136" s="10">
        <v>45999</v>
      </c>
      <c r="B136" s="11" t="s">
        <v>23</v>
      </c>
      <c r="C136" s="12" t="s">
        <v>45</v>
      </c>
      <c r="D136" s="13">
        <v>2477.48</v>
      </c>
      <c r="E136" s="13">
        <v>7268660.7999999998</v>
      </c>
      <c r="F136" s="12" t="s">
        <v>165</v>
      </c>
      <c r="G136" s="12" t="s">
        <v>21</v>
      </c>
    </row>
    <row r="137" spans="1:7" x14ac:dyDescent="0.2">
      <c r="A137" s="1">
        <v>45999</v>
      </c>
      <c r="B137" s="2" t="s">
        <v>134</v>
      </c>
      <c r="C137" s="3" t="s">
        <v>24</v>
      </c>
      <c r="D137" s="4">
        <v>1500000</v>
      </c>
      <c r="E137" s="4">
        <v>8768660.8000000007</v>
      </c>
      <c r="F137" s="3" t="s">
        <v>166</v>
      </c>
      <c r="G137" s="3" t="s">
        <v>9</v>
      </c>
    </row>
    <row r="138" spans="1:7" x14ac:dyDescent="0.2">
      <c r="A138" s="10">
        <v>45999</v>
      </c>
      <c r="B138" s="11" t="s">
        <v>85</v>
      </c>
      <c r="C138" s="12" t="s">
        <v>45</v>
      </c>
      <c r="D138" s="13">
        <v>255443.79</v>
      </c>
      <c r="E138" s="13">
        <v>9024104.5899999999</v>
      </c>
      <c r="F138" s="12" t="s">
        <v>167</v>
      </c>
      <c r="G138" s="12" t="s">
        <v>13</v>
      </c>
    </row>
    <row r="139" spans="1:7" x14ac:dyDescent="0.2">
      <c r="A139" s="1">
        <v>46000</v>
      </c>
      <c r="B139" s="2" t="s">
        <v>102</v>
      </c>
      <c r="C139" s="3" t="s">
        <v>55</v>
      </c>
      <c r="D139" s="4">
        <v>210854.49</v>
      </c>
      <c r="E139" s="4">
        <v>9234959.0800000001</v>
      </c>
      <c r="F139" s="3" t="s">
        <v>168</v>
      </c>
      <c r="G139" s="3" t="s">
        <v>9</v>
      </c>
    </row>
    <row r="140" spans="1:7" x14ac:dyDescent="0.2">
      <c r="A140" s="10">
        <v>46000</v>
      </c>
      <c r="B140" s="11" t="s">
        <v>75</v>
      </c>
      <c r="C140" s="12" t="s">
        <v>11</v>
      </c>
      <c r="D140" s="13">
        <v>-10264.26</v>
      </c>
      <c r="E140" s="13">
        <v>9224694.8200000003</v>
      </c>
      <c r="F140" s="12" t="s">
        <v>169</v>
      </c>
      <c r="G140" s="12" t="s">
        <v>13</v>
      </c>
    </row>
    <row r="141" spans="1:7" x14ac:dyDescent="0.2">
      <c r="A141" s="1">
        <v>46000</v>
      </c>
      <c r="B141" s="2" t="s">
        <v>109</v>
      </c>
      <c r="C141" s="3" t="s">
        <v>45</v>
      </c>
      <c r="D141" s="4">
        <v>314466.58</v>
      </c>
      <c r="E141" s="4">
        <v>9539161.4000000004</v>
      </c>
      <c r="F141" s="3"/>
      <c r="G141" s="3" t="s">
        <v>9</v>
      </c>
    </row>
    <row r="142" spans="1:7" x14ac:dyDescent="0.2">
      <c r="A142" s="10">
        <v>46001</v>
      </c>
      <c r="B142" s="11" t="s">
        <v>81</v>
      </c>
      <c r="C142" s="12" t="s">
        <v>45</v>
      </c>
      <c r="D142" s="13">
        <v>104406.41</v>
      </c>
      <c r="E142" s="13">
        <v>9643567.8100000005</v>
      </c>
      <c r="F142" s="12" t="s">
        <v>170</v>
      </c>
      <c r="G142" s="12" t="s">
        <v>9</v>
      </c>
    </row>
    <row r="143" spans="1:7" x14ac:dyDescent="0.2">
      <c r="A143" s="1">
        <v>46002</v>
      </c>
      <c r="B143" s="2" t="s">
        <v>83</v>
      </c>
      <c r="C143" s="3" t="s">
        <v>19</v>
      </c>
      <c r="D143" s="4">
        <v>-33851.75</v>
      </c>
      <c r="E143" s="4">
        <v>9609716.0600000005</v>
      </c>
      <c r="F143" s="3" t="s">
        <v>171</v>
      </c>
      <c r="G143" s="3" t="s">
        <v>9</v>
      </c>
    </row>
    <row r="144" spans="1:7" x14ac:dyDescent="0.2">
      <c r="A144" s="10">
        <v>46002</v>
      </c>
      <c r="B144" s="11" t="s">
        <v>62</v>
      </c>
      <c r="C144" s="12" t="s">
        <v>24</v>
      </c>
      <c r="D144" s="13">
        <v>93232.59</v>
      </c>
      <c r="E144" s="13">
        <v>9702948.6500000004</v>
      </c>
      <c r="F144" s="12" t="s">
        <v>172</v>
      </c>
      <c r="G144" s="12" t="s">
        <v>9</v>
      </c>
    </row>
    <row r="145" spans="1:7" x14ac:dyDescent="0.2">
      <c r="A145" s="1">
        <v>46002</v>
      </c>
      <c r="B145" s="2" t="s">
        <v>17</v>
      </c>
      <c r="C145" s="3" t="s">
        <v>26</v>
      </c>
      <c r="D145" s="4">
        <v>-12268.41</v>
      </c>
      <c r="E145" s="4">
        <v>9690680.2400000002</v>
      </c>
      <c r="F145" s="3"/>
      <c r="G145" s="3" t="s">
        <v>9</v>
      </c>
    </row>
    <row r="146" spans="1:7" x14ac:dyDescent="0.2">
      <c r="A146" s="10">
        <v>46003</v>
      </c>
      <c r="B146" s="11" t="s">
        <v>34</v>
      </c>
      <c r="C146" s="12" t="s">
        <v>8</v>
      </c>
      <c r="D146" s="13">
        <v>-188291.61</v>
      </c>
      <c r="E146" s="13">
        <v>9502388.6300000008</v>
      </c>
      <c r="F146" s="12" t="s">
        <v>173</v>
      </c>
      <c r="G146" s="12" t="s">
        <v>21</v>
      </c>
    </row>
    <row r="147" spans="1:7" x14ac:dyDescent="0.2">
      <c r="A147" s="1">
        <v>46004</v>
      </c>
      <c r="B147" s="2" t="s">
        <v>49</v>
      </c>
      <c r="C147" s="3" t="s">
        <v>24</v>
      </c>
      <c r="D147" s="4">
        <v>251957.53</v>
      </c>
      <c r="E147" s="4">
        <v>9754346.1600000001</v>
      </c>
      <c r="F147" s="3" t="s">
        <v>174</v>
      </c>
      <c r="G147" s="3" t="s">
        <v>9</v>
      </c>
    </row>
    <row r="148" spans="1:7" x14ac:dyDescent="0.2">
      <c r="A148" s="10">
        <v>46004</v>
      </c>
      <c r="B148" s="11" t="s">
        <v>15</v>
      </c>
      <c r="C148" s="12" t="s">
        <v>14</v>
      </c>
      <c r="D148" s="13">
        <v>-42916.76</v>
      </c>
      <c r="E148" s="13">
        <v>9711429.4000000004</v>
      </c>
      <c r="F148" s="12" t="s">
        <v>175</v>
      </c>
      <c r="G148" s="12" t="s">
        <v>21</v>
      </c>
    </row>
    <row r="149" spans="1:7" x14ac:dyDescent="0.2">
      <c r="A149" s="1">
        <v>46004</v>
      </c>
      <c r="B149" s="2" t="s">
        <v>83</v>
      </c>
      <c r="C149" s="3" t="s">
        <v>26</v>
      </c>
      <c r="D149" s="4">
        <v>-14658.85</v>
      </c>
      <c r="E149" s="4">
        <v>9696770.5500000007</v>
      </c>
      <c r="F149" s="3" t="s">
        <v>176</v>
      </c>
      <c r="G149" s="3" t="s">
        <v>13</v>
      </c>
    </row>
    <row r="150" spans="1:7" x14ac:dyDescent="0.2">
      <c r="A150" s="10">
        <v>46004</v>
      </c>
      <c r="B150" s="11" t="s">
        <v>30</v>
      </c>
      <c r="C150" s="12" t="s">
        <v>11</v>
      </c>
      <c r="D150" s="13">
        <v>-10478.9</v>
      </c>
      <c r="E150" s="13">
        <v>9686291.6500000004</v>
      </c>
      <c r="F150" s="12"/>
      <c r="G150" s="12" t="s">
        <v>21</v>
      </c>
    </row>
    <row r="151" spans="1:7" x14ac:dyDescent="0.2">
      <c r="A151" s="1">
        <v>46005</v>
      </c>
      <c r="B151" s="2" t="s">
        <v>10</v>
      </c>
      <c r="C151" s="3" t="s">
        <v>26</v>
      </c>
      <c r="D151" s="4">
        <v>-19155.509999999998</v>
      </c>
      <c r="E151" s="4">
        <v>9667136.1400000006</v>
      </c>
      <c r="F151" s="3" t="s">
        <v>177</v>
      </c>
      <c r="G151" s="3" t="s">
        <v>9</v>
      </c>
    </row>
    <row r="152" spans="1:7" x14ac:dyDescent="0.2">
      <c r="A152" s="10">
        <v>46005</v>
      </c>
      <c r="B152" s="11" t="s">
        <v>153</v>
      </c>
      <c r="C152" s="12" t="s">
        <v>11</v>
      </c>
      <c r="D152" s="13">
        <v>-20159.48</v>
      </c>
      <c r="E152" s="13">
        <v>9646976.6600000001</v>
      </c>
      <c r="F152" s="12" t="s">
        <v>178</v>
      </c>
      <c r="G152" s="12" t="s">
        <v>13</v>
      </c>
    </row>
    <row r="153" spans="1:7" x14ac:dyDescent="0.2">
      <c r="A153" s="1">
        <v>46006</v>
      </c>
      <c r="B153" s="2" t="s">
        <v>28</v>
      </c>
      <c r="C153" s="3" t="s">
        <v>19</v>
      </c>
      <c r="D153" s="4">
        <v>-13093.44</v>
      </c>
      <c r="E153" s="4">
        <v>9633883.2200000007</v>
      </c>
      <c r="F153" s="3"/>
      <c r="G153" s="3" t="s">
        <v>9</v>
      </c>
    </row>
    <row r="154" spans="1:7" x14ac:dyDescent="0.2">
      <c r="A154" s="10">
        <v>46006</v>
      </c>
      <c r="B154" s="11" t="s">
        <v>49</v>
      </c>
      <c r="C154" s="12" t="s">
        <v>45</v>
      </c>
      <c r="D154" s="13">
        <v>39691.019999999997</v>
      </c>
      <c r="E154" s="13">
        <v>9673574.2400000002</v>
      </c>
      <c r="F154" s="12" t="s">
        <v>179</v>
      </c>
      <c r="G154" s="12" t="s">
        <v>9</v>
      </c>
    </row>
    <row r="155" spans="1:7" x14ac:dyDescent="0.2">
      <c r="A155" s="1">
        <v>46006</v>
      </c>
      <c r="B155" s="2" t="s">
        <v>30</v>
      </c>
      <c r="C155" s="3" t="s">
        <v>11</v>
      </c>
      <c r="D155" s="4">
        <v>-29644.02</v>
      </c>
      <c r="E155" s="4">
        <v>9643930.2200000007</v>
      </c>
      <c r="F155" s="3" t="s">
        <v>180</v>
      </c>
      <c r="G155" s="3" t="s">
        <v>13</v>
      </c>
    </row>
    <row r="156" spans="1:7" x14ac:dyDescent="0.2">
      <c r="A156" s="10">
        <v>46007</v>
      </c>
      <c r="B156" s="11" t="s">
        <v>58</v>
      </c>
      <c r="C156" s="12" t="s">
        <v>55</v>
      </c>
      <c r="D156" s="13">
        <v>378533.88</v>
      </c>
      <c r="E156" s="13">
        <v>10022464.1</v>
      </c>
      <c r="F156" s="12" t="s">
        <v>181</v>
      </c>
      <c r="G156" s="12" t="s">
        <v>9</v>
      </c>
    </row>
    <row r="157" spans="1:7" x14ac:dyDescent="0.2">
      <c r="A157" s="1">
        <v>46008</v>
      </c>
      <c r="B157" s="2" t="s">
        <v>65</v>
      </c>
      <c r="C157" s="3" t="s">
        <v>11</v>
      </c>
      <c r="D157" s="4">
        <v>-17397.03</v>
      </c>
      <c r="E157" s="4">
        <v>10005067.07</v>
      </c>
      <c r="F157" s="3" t="s">
        <v>182</v>
      </c>
      <c r="G157" s="3" t="s">
        <v>13</v>
      </c>
    </row>
    <row r="158" spans="1:7" x14ac:dyDescent="0.2">
      <c r="A158" s="10">
        <v>46009</v>
      </c>
      <c r="B158" s="11" t="s">
        <v>17</v>
      </c>
      <c r="C158" s="12" t="s">
        <v>19</v>
      </c>
      <c r="D158" s="13">
        <v>-37600.769999999997</v>
      </c>
      <c r="E158" s="13">
        <v>9967466.3000000007</v>
      </c>
      <c r="F158" s="12" t="s">
        <v>183</v>
      </c>
      <c r="G158" s="12" t="s">
        <v>13</v>
      </c>
    </row>
    <row r="159" spans="1:7" x14ac:dyDescent="0.2">
      <c r="A159" s="1">
        <v>46009</v>
      </c>
      <c r="B159" s="2" t="s">
        <v>7</v>
      </c>
      <c r="C159" s="3" t="s">
        <v>26</v>
      </c>
      <c r="D159" s="4">
        <v>-27600.27</v>
      </c>
      <c r="E159" s="4">
        <v>9939866.0299999993</v>
      </c>
      <c r="F159" s="3" t="s">
        <v>184</v>
      </c>
      <c r="G159" s="3" t="s">
        <v>9</v>
      </c>
    </row>
    <row r="160" spans="1:7" x14ac:dyDescent="0.2">
      <c r="A160" s="10">
        <v>46010</v>
      </c>
      <c r="B160" s="11" t="s">
        <v>70</v>
      </c>
      <c r="C160" s="12" t="s">
        <v>24</v>
      </c>
      <c r="D160" s="13">
        <v>274067.11</v>
      </c>
      <c r="E160" s="13">
        <v>10213933.140000001</v>
      </c>
      <c r="F160" s="12" t="s">
        <v>185</v>
      </c>
      <c r="G160" s="12" t="s">
        <v>13</v>
      </c>
    </row>
    <row r="161" spans="1:7" x14ac:dyDescent="0.2">
      <c r="A161" s="1">
        <v>46010</v>
      </c>
      <c r="B161" s="2" t="s">
        <v>31</v>
      </c>
      <c r="C161" s="3" t="s">
        <v>45</v>
      </c>
      <c r="D161" s="4">
        <v>172294.47</v>
      </c>
      <c r="E161" s="4">
        <v>10386227.609999999</v>
      </c>
      <c r="F161" s="3" t="s">
        <v>186</v>
      </c>
      <c r="G161" s="3" t="s">
        <v>13</v>
      </c>
    </row>
    <row r="162" spans="1:7" x14ac:dyDescent="0.2">
      <c r="A162" s="10">
        <v>46011</v>
      </c>
      <c r="B162" s="11" t="s">
        <v>54</v>
      </c>
      <c r="C162" s="12" t="s">
        <v>24</v>
      </c>
      <c r="D162" s="13">
        <v>61367.58</v>
      </c>
      <c r="E162" s="13">
        <v>10447595.189999999</v>
      </c>
      <c r="F162" s="12" t="s">
        <v>187</v>
      </c>
      <c r="G162" s="12" t="s">
        <v>9</v>
      </c>
    </row>
    <row r="163" spans="1:7" x14ac:dyDescent="0.2">
      <c r="A163" s="1">
        <v>46011</v>
      </c>
      <c r="B163" s="2" t="s">
        <v>97</v>
      </c>
      <c r="C163" s="3" t="s">
        <v>19</v>
      </c>
      <c r="D163" s="4">
        <v>-2097.5100000000002</v>
      </c>
      <c r="E163" s="4">
        <v>10445497.68</v>
      </c>
      <c r="F163" s="3"/>
      <c r="G163" s="3" t="s">
        <v>9</v>
      </c>
    </row>
    <row r="164" spans="1:7" x14ac:dyDescent="0.2">
      <c r="A164" s="10">
        <v>46012</v>
      </c>
      <c r="B164" s="11" t="s">
        <v>81</v>
      </c>
      <c r="C164" s="12" t="s">
        <v>45</v>
      </c>
      <c r="D164" s="13">
        <v>94569.12</v>
      </c>
      <c r="E164" s="13">
        <v>10540066.800000001</v>
      </c>
      <c r="F164" s="12"/>
      <c r="G164" s="12" t="s">
        <v>9</v>
      </c>
    </row>
    <row r="165" spans="1:7" x14ac:dyDescent="0.2">
      <c r="A165" s="1">
        <v>46012</v>
      </c>
      <c r="B165" s="2" t="s">
        <v>35</v>
      </c>
      <c r="C165" s="3" t="s">
        <v>11</v>
      </c>
      <c r="D165" s="4">
        <v>-38116.019999999997</v>
      </c>
      <c r="E165" s="4">
        <v>10501950.779999999</v>
      </c>
      <c r="F165" s="3" t="s">
        <v>188</v>
      </c>
      <c r="G165" s="3" t="s">
        <v>13</v>
      </c>
    </row>
    <row r="166" spans="1:7" x14ac:dyDescent="0.2">
      <c r="A166" s="10">
        <v>46013</v>
      </c>
      <c r="B166" s="11" t="s">
        <v>70</v>
      </c>
      <c r="C166" s="12" t="s">
        <v>45</v>
      </c>
      <c r="D166" s="13">
        <v>345748.53</v>
      </c>
      <c r="E166" s="13">
        <v>10847699.310000001</v>
      </c>
      <c r="F166" s="12" t="s">
        <v>189</v>
      </c>
      <c r="G166" s="12" t="s">
        <v>9</v>
      </c>
    </row>
    <row r="167" spans="1:7" x14ac:dyDescent="0.2">
      <c r="A167" s="1">
        <v>46014</v>
      </c>
      <c r="B167" s="2" t="s">
        <v>31</v>
      </c>
      <c r="C167" s="3" t="s">
        <v>24</v>
      </c>
      <c r="D167" s="4">
        <v>77358.34</v>
      </c>
      <c r="E167" s="4">
        <v>10925057.65</v>
      </c>
      <c r="F167" s="3"/>
      <c r="G167" s="3" t="s">
        <v>9</v>
      </c>
    </row>
    <row r="168" spans="1:7" x14ac:dyDescent="0.2">
      <c r="A168" s="10">
        <v>46015</v>
      </c>
      <c r="B168" s="11" t="s">
        <v>38</v>
      </c>
      <c r="C168" s="12" t="s">
        <v>39</v>
      </c>
      <c r="D168" s="13">
        <v>-199065.73</v>
      </c>
      <c r="E168" s="13">
        <v>10725991.92</v>
      </c>
      <c r="F168" s="12"/>
      <c r="G168" s="12" t="s">
        <v>21</v>
      </c>
    </row>
    <row r="169" spans="1:7" x14ac:dyDescent="0.2">
      <c r="A169" s="1">
        <v>46015</v>
      </c>
      <c r="B169" s="2" t="s">
        <v>30</v>
      </c>
      <c r="C169" s="3" t="s">
        <v>26</v>
      </c>
      <c r="D169" s="4">
        <v>-4583.22</v>
      </c>
      <c r="E169" s="4">
        <v>10721408.699999999</v>
      </c>
      <c r="F169" s="3" t="s">
        <v>190</v>
      </c>
      <c r="G169" s="3" t="s">
        <v>13</v>
      </c>
    </row>
    <row r="170" spans="1:7" x14ac:dyDescent="0.2">
      <c r="A170" s="10">
        <v>46016</v>
      </c>
      <c r="B170" s="11" t="s">
        <v>83</v>
      </c>
      <c r="C170" s="12" t="s">
        <v>26</v>
      </c>
      <c r="D170" s="13">
        <v>-43593.74</v>
      </c>
      <c r="E170" s="13">
        <v>10677814.960000001</v>
      </c>
      <c r="F170" s="12" t="s">
        <v>191</v>
      </c>
      <c r="G170" s="12" t="s">
        <v>9</v>
      </c>
    </row>
    <row r="171" spans="1:7" x14ac:dyDescent="0.2">
      <c r="A171" s="1">
        <v>46017</v>
      </c>
      <c r="B171" s="2" t="s">
        <v>7</v>
      </c>
      <c r="C171" s="3" t="s">
        <v>26</v>
      </c>
      <c r="D171" s="4">
        <v>-26776.92</v>
      </c>
      <c r="E171" s="4">
        <v>10651038.039999999</v>
      </c>
      <c r="F171" s="3"/>
      <c r="G171" s="3" t="s">
        <v>9</v>
      </c>
    </row>
    <row r="172" spans="1:7" x14ac:dyDescent="0.2">
      <c r="A172" s="10">
        <v>46017</v>
      </c>
      <c r="B172" s="11" t="s">
        <v>51</v>
      </c>
      <c r="C172" s="12" t="s">
        <v>52</v>
      </c>
      <c r="D172" s="13">
        <v>1170.0999999999999</v>
      </c>
      <c r="E172" s="13">
        <v>10652208.140000001</v>
      </c>
      <c r="F172" s="12" t="s">
        <v>192</v>
      </c>
      <c r="G172" s="12" t="s">
        <v>9</v>
      </c>
    </row>
    <row r="173" spans="1:7" x14ac:dyDescent="0.2">
      <c r="A173" s="1">
        <v>46017</v>
      </c>
      <c r="B173" s="2" t="s">
        <v>35</v>
      </c>
      <c r="C173" s="3" t="s">
        <v>19</v>
      </c>
      <c r="D173" s="4">
        <v>-17455.63</v>
      </c>
      <c r="E173" s="4">
        <v>10634752.51</v>
      </c>
      <c r="F173" s="3" t="s">
        <v>193</v>
      </c>
      <c r="G173" s="3" t="s">
        <v>9</v>
      </c>
    </row>
    <row r="174" spans="1:7" x14ac:dyDescent="0.2">
      <c r="A174" s="10">
        <v>46017</v>
      </c>
      <c r="B174" s="11" t="s">
        <v>31</v>
      </c>
      <c r="C174" s="12" t="s">
        <v>55</v>
      </c>
      <c r="D174" s="13">
        <v>336240.77</v>
      </c>
      <c r="E174" s="13">
        <v>10970993.279999999</v>
      </c>
      <c r="F174" s="12" t="s">
        <v>194</v>
      </c>
      <c r="G174" s="12" t="s">
        <v>9</v>
      </c>
    </row>
    <row r="175" spans="1:7" x14ac:dyDescent="0.2">
      <c r="A175" s="1">
        <v>46018</v>
      </c>
      <c r="B175" s="2" t="s">
        <v>15</v>
      </c>
      <c r="C175" s="3" t="s">
        <v>19</v>
      </c>
      <c r="D175" s="4">
        <v>-70052.67</v>
      </c>
      <c r="E175" s="4">
        <v>10900940.609999999</v>
      </c>
      <c r="F175" s="3" t="s">
        <v>195</v>
      </c>
      <c r="G175" s="3" t="s">
        <v>9</v>
      </c>
    </row>
    <row r="176" spans="1:7" x14ac:dyDescent="0.2">
      <c r="A176" s="10">
        <v>46018</v>
      </c>
      <c r="B176" s="11" t="s">
        <v>38</v>
      </c>
      <c r="C176" s="12" t="s">
        <v>39</v>
      </c>
      <c r="D176" s="13">
        <v>-112110.02</v>
      </c>
      <c r="E176" s="13">
        <v>10788830.59</v>
      </c>
      <c r="F176" s="12" t="s">
        <v>196</v>
      </c>
      <c r="G176" s="12" t="s">
        <v>13</v>
      </c>
    </row>
    <row r="177" spans="1:7" x14ac:dyDescent="0.2">
      <c r="A177" s="1">
        <v>46019</v>
      </c>
      <c r="B177" s="2" t="s">
        <v>97</v>
      </c>
      <c r="C177" s="3" t="s">
        <v>11</v>
      </c>
      <c r="D177" s="4">
        <v>-35785.51</v>
      </c>
      <c r="E177" s="4">
        <v>10753045.08</v>
      </c>
      <c r="F177" s="3"/>
      <c r="G177" s="3" t="s">
        <v>9</v>
      </c>
    </row>
    <row r="178" spans="1:7" x14ac:dyDescent="0.2">
      <c r="A178" s="10">
        <v>46019</v>
      </c>
      <c r="B178" s="11" t="s">
        <v>15</v>
      </c>
      <c r="C178" s="12" t="s">
        <v>11</v>
      </c>
      <c r="D178" s="13">
        <v>-73813.960000000006</v>
      </c>
      <c r="E178" s="13">
        <v>10679231.119999999</v>
      </c>
      <c r="F178" s="12" t="s">
        <v>197</v>
      </c>
      <c r="G178" s="12" t="s">
        <v>9</v>
      </c>
    </row>
    <row r="179" spans="1:7" x14ac:dyDescent="0.2">
      <c r="A179" s="1">
        <v>46019</v>
      </c>
      <c r="B179" s="2" t="s">
        <v>34</v>
      </c>
      <c r="C179" s="3" t="s">
        <v>14</v>
      </c>
      <c r="D179" s="4">
        <v>-239663.89</v>
      </c>
      <c r="E179" s="4">
        <v>10439567.23</v>
      </c>
      <c r="F179" s="3" t="s">
        <v>198</v>
      </c>
      <c r="G179" s="3" t="s">
        <v>9</v>
      </c>
    </row>
    <row r="180" spans="1:7" x14ac:dyDescent="0.2">
      <c r="A180" s="10">
        <v>46020</v>
      </c>
      <c r="B180" s="11" t="s">
        <v>38</v>
      </c>
      <c r="C180" s="12" t="s">
        <v>39</v>
      </c>
      <c r="D180" s="13">
        <v>-221826.2</v>
      </c>
      <c r="E180" s="13">
        <v>10217741.029999999</v>
      </c>
      <c r="F180" s="12" t="s">
        <v>199</v>
      </c>
      <c r="G180" s="12" t="s">
        <v>9</v>
      </c>
    </row>
    <row r="181" spans="1:7" x14ac:dyDescent="0.2">
      <c r="A181" s="1">
        <v>46021</v>
      </c>
      <c r="B181" s="2" t="s">
        <v>75</v>
      </c>
      <c r="C181" s="3" t="s">
        <v>26</v>
      </c>
      <c r="D181" s="4">
        <v>-40791.19</v>
      </c>
      <c r="E181" s="4">
        <v>10176949.84</v>
      </c>
      <c r="F181" s="3" t="s">
        <v>200</v>
      </c>
      <c r="G181" s="3" t="s">
        <v>21</v>
      </c>
    </row>
    <row r="182" spans="1:7" x14ac:dyDescent="0.2">
      <c r="A182" s="10">
        <v>46022</v>
      </c>
      <c r="B182" s="11" t="s">
        <v>54</v>
      </c>
      <c r="C182" s="12" t="s">
        <v>55</v>
      </c>
      <c r="D182" s="13">
        <v>324401.03999999998</v>
      </c>
      <c r="E182" s="13">
        <v>10501350.880000001</v>
      </c>
      <c r="F182" s="12" t="s">
        <v>201</v>
      </c>
      <c r="G182" s="12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J202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15.83203125" customWidth="1"/>
    <col min="2" max="2" width="18.33203125" customWidth="1"/>
    <col min="3" max="3" width="42.5" customWidth="1"/>
    <col min="4" max="4" width="18.33203125" customWidth="1"/>
    <col min="5" max="5" width="25.83203125" customWidth="1"/>
    <col min="6" max="6" width="19.1640625" customWidth="1"/>
    <col min="7" max="7" width="11.6640625" customWidth="1"/>
    <col min="8" max="8" width="14.1640625" customWidth="1"/>
    <col min="9" max="9" width="15" customWidth="1"/>
    <col min="10" max="10" width="20" customWidth="1"/>
  </cols>
  <sheetData>
    <row r="1" spans="1:10" ht="32" customHeight="1" x14ac:dyDescent="0.2">
      <c r="A1" s="79" t="s">
        <v>625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ht="28" customHeight="1" thickBot="1" x14ac:dyDescent="0.25">
      <c r="A2" s="78" t="s">
        <v>202</v>
      </c>
      <c r="B2" s="78" t="s">
        <v>203</v>
      </c>
      <c r="C2" s="78" t="s">
        <v>1</v>
      </c>
      <c r="D2" s="78" t="s">
        <v>204</v>
      </c>
      <c r="E2" s="78" t="s">
        <v>205</v>
      </c>
      <c r="F2" s="78" t="s">
        <v>3</v>
      </c>
      <c r="G2" s="78" t="s">
        <v>2</v>
      </c>
      <c r="H2" s="78" t="s">
        <v>206</v>
      </c>
      <c r="I2" s="78" t="s">
        <v>207</v>
      </c>
      <c r="J2" s="78" t="s">
        <v>208</v>
      </c>
    </row>
    <row r="3" spans="1:10" x14ac:dyDescent="0.2">
      <c r="A3" s="64">
        <v>45931</v>
      </c>
      <c r="B3" s="64">
        <v>45931</v>
      </c>
      <c r="C3" s="65" t="s">
        <v>209</v>
      </c>
      <c r="D3" s="66" t="s">
        <v>210</v>
      </c>
      <c r="E3" s="66" t="s">
        <v>211</v>
      </c>
      <c r="F3" s="67">
        <v>-215618.48</v>
      </c>
      <c r="G3" s="66" t="s">
        <v>212</v>
      </c>
      <c r="H3" s="66" t="s">
        <v>213</v>
      </c>
      <c r="I3" s="66" t="s">
        <v>214</v>
      </c>
      <c r="J3" s="65" t="s">
        <v>215</v>
      </c>
    </row>
    <row r="4" spans="1:10" x14ac:dyDescent="0.2">
      <c r="A4" s="10">
        <v>45931</v>
      </c>
      <c r="B4" s="10">
        <v>45931</v>
      </c>
      <c r="C4" s="11" t="s">
        <v>216</v>
      </c>
      <c r="D4" s="12" t="s">
        <v>217</v>
      </c>
      <c r="E4" s="12" t="s">
        <v>218</v>
      </c>
      <c r="F4" s="13">
        <v>246839.92</v>
      </c>
      <c r="G4" s="12" t="s">
        <v>219</v>
      </c>
      <c r="H4" s="12" t="s">
        <v>220</v>
      </c>
      <c r="I4" s="12" t="s">
        <v>221</v>
      </c>
      <c r="J4" s="11" t="s">
        <v>222</v>
      </c>
    </row>
    <row r="5" spans="1:10" x14ac:dyDescent="0.2">
      <c r="A5" s="1">
        <v>45932</v>
      </c>
      <c r="B5" s="1">
        <v>45932</v>
      </c>
      <c r="C5" s="2" t="s">
        <v>223</v>
      </c>
      <c r="D5" s="3" t="s">
        <v>224</v>
      </c>
      <c r="E5" s="3" t="s">
        <v>225</v>
      </c>
      <c r="F5" s="4">
        <v>-175574.61</v>
      </c>
      <c r="G5" s="3" t="s">
        <v>212</v>
      </c>
      <c r="H5" s="3" t="s">
        <v>226</v>
      </c>
      <c r="I5" s="3" t="s">
        <v>227</v>
      </c>
      <c r="J5" s="2" t="s">
        <v>228</v>
      </c>
    </row>
    <row r="6" spans="1:10" x14ac:dyDescent="0.2">
      <c r="A6" s="10">
        <v>45932</v>
      </c>
      <c r="B6" s="10">
        <v>45932</v>
      </c>
      <c r="C6" s="11" t="s">
        <v>229</v>
      </c>
      <c r="D6" s="12" t="s">
        <v>217</v>
      </c>
      <c r="E6" s="12" t="s">
        <v>230</v>
      </c>
      <c r="F6" s="13">
        <v>158793.60000000001</v>
      </c>
      <c r="G6" s="12" t="s">
        <v>219</v>
      </c>
      <c r="H6" s="12" t="s">
        <v>231</v>
      </c>
      <c r="I6" s="12" t="s">
        <v>227</v>
      </c>
      <c r="J6" s="11" t="s">
        <v>222</v>
      </c>
    </row>
    <row r="7" spans="1:10" x14ac:dyDescent="0.2">
      <c r="A7" s="68">
        <v>45932</v>
      </c>
      <c r="B7" s="68">
        <v>45932</v>
      </c>
      <c r="C7" s="69" t="s">
        <v>232</v>
      </c>
      <c r="D7" s="70" t="s">
        <v>217</v>
      </c>
      <c r="E7" s="70" t="s">
        <v>233</v>
      </c>
      <c r="F7" s="71">
        <v>179780.66</v>
      </c>
      <c r="G7" s="70" t="s">
        <v>219</v>
      </c>
      <c r="H7" s="70" t="s">
        <v>234</v>
      </c>
      <c r="I7" s="70" t="s">
        <v>214</v>
      </c>
      <c r="J7" s="69" t="s">
        <v>235</v>
      </c>
    </row>
    <row r="8" spans="1:10" x14ac:dyDescent="0.2">
      <c r="A8" s="10">
        <v>45933</v>
      </c>
      <c r="B8" s="10">
        <v>45933</v>
      </c>
      <c r="C8" s="11" t="s">
        <v>236</v>
      </c>
      <c r="D8" s="12" t="s">
        <v>217</v>
      </c>
      <c r="E8" s="12" t="s">
        <v>237</v>
      </c>
      <c r="F8" s="13">
        <v>159022.17000000001</v>
      </c>
      <c r="G8" s="12" t="s">
        <v>219</v>
      </c>
      <c r="H8" s="12" t="s">
        <v>238</v>
      </c>
      <c r="I8" s="12" t="s">
        <v>239</v>
      </c>
      <c r="J8" s="11" t="s">
        <v>240</v>
      </c>
    </row>
    <row r="9" spans="1:10" x14ac:dyDescent="0.2">
      <c r="A9" s="1">
        <v>45934</v>
      </c>
      <c r="B9" s="1">
        <v>45904</v>
      </c>
      <c r="C9" s="2" t="s">
        <v>241</v>
      </c>
      <c r="D9" s="3" t="s">
        <v>224</v>
      </c>
      <c r="E9" s="3" t="s">
        <v>242</v>
      </c>
      <c r="F9" s="4">
        <v>-107673.43</v>
      </c>
      <c r="G9" s="3" t="s">
        <v>212</v>
      </c>
      <c r="H9" s="3"/>
      <c r="I9" s="3" t="s">
        <v>239</v>
      </c>
      <c r="J9" s="2" t="s">
        <v>243</v>
      </c>
    </row>
    <row r="10" spans="1:10" x14ac:dyDescent="0.2">
      <c r="A10" s="10">
        <v>45936</v>
      </c>
      <c r="B10" s="10">
        <v>45936</v>
      </c>
      <c r="C10" s="11" t="s">
        <v>244</v>
      </c>
      <c r="D10" s="12" t="s">
        <v>217</v>
      </c>
      <c r="E10" s="12" t="s">
        <v>245</v>
      </c>
      <c r="F10" s="13">
        <v>-80720.929999999993</v>
      </c>
      <c r="G10" s="12" t="s">
        <v>212</v>
      </c>
      <c r="H10" s="12" t="s">
        <v>246</v>
      </c>
      <c r="I10" s="12" t="s">
        <v>221</v>
      </c>
      <c r="J10" s="11" t="s">
        <v>215</v>
      </c>
    </row>
    <row r="11" spans="1:10" x14ac:dyDescent="0.2">
      <c r="A11" s="1">
        <v>45938</v>
      </c>
      <c r="B11" s="1">
        <v>45938</v>
      </c>
      <c r="C11" s="2" t="s">
        <v>247</v>
      </c>
      <c r="D11" s="3" t="s">
        <v>210</v>
      </c>
      <c r="E11" s="3" t="s">
        <v>245</v>
      </c>
      <c r="F11" s="4">
        <v>-244353.45</v>
      </c>
      <c r="G11" s="3" t="s">
        <v>212</v>
      </c>
      <c r="H11" s="3"/>
      <c r="I11" s="3" t="s">
        <v>239</v>
      </c>
      <c r="J11" s="2" t="s">
        <v>248</v>
      </c>
    </row>
    <row r="12" spans="1:10" x14ac:dyDescent="0.2">
      <c r="A12" s="10">
        <v>45938</v>
      </c>
      <c r="B12" s="10">
        <v>45908</v>
      </c>
      <c r="C12" s="11" t="s">
        <v>249</v>
      </c>
      <c r="D12" s="12" t="s">
        <v>250</v>
      </c>
      <c r="E12" s="12" t="s">
        <v>251</v>
      </c>
      <c r="F12" s="13">
        <v>-169848.16</v>
      </c>
      <c r="G12" s="12" t="s">
        <v>212</v>
      </c>
      <c r="H12" s="12" t="s">
        <v>252</v>
      </c>
      <c r="I12" s="12" t="s">
        <v>221</v>
      </c>
      <c r="J12" s="11" t="s">
        <v>253</v>
      </c>
    </row>
    <row r="13" spans="1:10" x14ac:dyDescent="0.2">
      <c r="A13" s="1">
        <v>45938</v>
      </c>
      <c r="B13" s="1">
        <v>45908</v>
      </c>
      <c r="C13" s="2" t="s">
        <v>254</v>
      </c>
      <c r="D13" s="3" t="s">
        <v>224</v>
      </c>
      <c r="E13" s="3" t="s">
        <v>255</v>
      </c>
      <c r="F13" s="4">
        <v>-42510.15</v>
      </c>
      <c r="G13" s="3" t="s">
        <v>212</v>
      </c>
      <c r="H13" s="3" t="s">
        <v>256</v>
      </c>
      <c r="I13" s="3" t="s">
        <v>239</v>
      </c>
      <c r="J13" s="2" t="s">
        <v>257</v>
      </c>
    </row>
    <row r="14" spans="1:10" x14ac:dyDescent="0.2">
      <c r="A14" s="10">
        <v>45938</v>
      </c>
      <c r="B14" s="10">
        <v>45878</v>
      </c>
      <c r="C14" s="11" t="s">
        <v>258</v>
      </c>
      <c r="D14" s="12" t="s">
        <v>210</v>
      </c>
      <c r="E14" s="12" t="s">
        <v>255</v>
      </c>
      <c r="F14" s="13">
        <v>-245674.83</v>
      </c>
      <c r="G14" s="12" t="s">
        <v>212</v>
      </c>
      <c r="H14" s="12" t="s">
        <v>259</v>
      </c>
      <c r="I14" s="12" t="s">
        <v>239</v>
      </c>
      <c r="J14" s="11" t="s">
        <v>243</v>
      </c>
    </row>
    <row r="15" spans="1:10" x14ac:dyDescent="0.2">
      <c r="A15" s="1">
        <v>45939</v>
      </c>
      <c r="B15" s="1">
        <v>45879</v>
      </c>
      <c r="C15" s="2" t="s">
        <v>260</v>
      </c>
      <c r="D15" s="3" t="s">
        <v>250</v>
      </c>
      <c r="E15" s="3" t="s">
        <v>225</v>
      </c>
      <c r="F15" s="4">
        <v>-125076.15</v>
      </c>
      <c r="G15" s="3" t="s">
        <v>212</v>
      </c>
      <c r="H15" s="3" t="s">
        <v>261</v>
      </c>
      <c r="I15" s="3" t="s">
        <v>239</v>
      </c>
      <c r="J15" s="2" t="s">
        <v>262</v>
      </c>
    </row>
    <row r="16" spans="1:10" x14ac:dyDescent="0.2">
      <c r="A16" s="10">
        <v>45940</v>
      </c>
      <c r="B16" s="10">
        <v>45940</v>
      </c>
      <c r="C16" s="11" t="s">
        <v>263</v>
      </c>
      <c r="D16" s="12" t="s">
        <v>224</v>
      </c>
      <c r="E16" s="12" t="s">
        <v>264</v>
      </c>
      <c r="F16" s="13">
        <v>-248533.85</v>
      </c>
      <c r="G16" s="12" t="s">
        <v>212</v>
      </c>
      <c r="H16" s="12" t="s">
        <v>265</v>
      </c>
      <c r="I16" s="12" t="s">
        <v>221</v>
      </c>
      <c r="J16" s="11" t="s">
        <v>253</v>
      </c>
    </row>
    <row r="17" spans="1:10" x14ac:dyDescent="0.2">
      <c r="A17" s="1">
        <v>45940</v>
      </c>
      <c r="B17" s="1">
        <v>45910</v>
      </c>
      <c r="C17" s="2" t="s">
        <v>266</v>
      </c>
      <c r="D17" s="3" t="s">
        <v>267</v>
      </c>
      <c r="E17" s="3" t="s">
        <v>264</v>
      </c>
      <c r="F17" s="4">
        <v>-129145.56</v>
      </c>
      <c r="G17" s="3" t="s">
        <v>212</v>
      </c>
      <c r="H17" s="3" t="s">
        <v>268</v>
      </c>
      <c r="I17" s="3" t="s">
        <v>239</v>
      </c>
      <c r="J17" s="2" t="s">
        <v>262</v>
      </c>
    </row>
    <row r="18" spans="1:10" x14ac:dyDescent="0.2">
      <c r="A18" s="68">
        <v>45940</v>
      </c>
      <c r="B18" s="68">
        <v>45940</v>
      </c>
      <c r="C18" s="69" t="s">
        <v>269</v>
      </c>
      <c r="D18" s="70" t="s">
        <v>267</v>
      </c>
      <c r="E18" s="70" t="s">
        <v>245</v>
      </c>
      <c r="F18" s="71">
        <v>-202420.02</v>
      </c>
      <c r="G18" s="70" t="s">
        <v>212</v>
      </c>
      <c r="H18" s="70"/>
      <c r="I18" s="70" t="s">
        <v>214</v>
      </c>
      <c r="J18" s="69" t="s">
        <v>243</v>
      </c>
    </row>
    <row r="19" spans="1:10" x14ac:dyDescent="0.2">
      <c r="A19" s="1">
        <v>45941</v>
      </c>
      <c r="B19" s="1">
        <v>45941</v>
      </c>
      <c r="C19" s="2" t="s">
        <v>270</v>
      </c>
      <c r="D19" s="3" t="s">
        <v>217</v>
      </c>
      <c r="E19" s="3" t="s">
        <v>237</v>
      </c>
      <c r="F19" s="4">
        <v>291570.65999999997</v>
      </c>
      <c r="G19" s="3" t="s">
        <v>219</v>
      </c>
      <c r="H19" s="3" t="s">
        <v>271</v>
      </c>
      <c r="I19" s="3" t="s">
        <v>239</v>
      </c>
      <c r="J19" s="2" t="s">
        <v>272</v>
      </c>
    </row>
    <row r="20" spans="1:10" x14ac:dyDescent="0.2">
      <c r="A20" s="10">
        <v>45941</v>
      </c>
      <c r="B20" s="10">
        <v>45881</v>
      </c>
      <c r="C20" s="11" t="s">
        <v>273</v>
      </c>
      <c r="D20" s="12" t="s">
        <v>250</v>
      </c>
      <c r="E20" s="12" t="s">
        <v>274</v>
      </c>
      <c r="F20" s="13">
        <v>-18839.919999999998</v>
      </c>
      <c r="G20" s="12" t="s">
        <v>212</v>
      </c>
      <c r="H20" s="12" t="s">
        <v>275</v>
      </c>
      <c r="I20" s="12" t="s">
        <v>227</v>
      </c>
      <c r="J20" s="11" t="s">
        <v>262</v>
      </c>
    </row>
    <row r="21" spans="1:10" x14ac:dyDescent="0.2">
      <c r="A21" s="1">
        <v>45941</v>
      </c>
      <c r="B21" s="1">
        <v>45911</v>
      </c>
      <c r="C21" s="2" t="s">
        <v>276</v>
      </c>
      <c r="D21" s="3" t="s">
        <v>217</v>
      </c>
      <c r="E21" s="3" t="s">
        <v>218</v>
      </c>
      <c r="F21" s="4">
        <v>16279.8</v>
      </c>
      <c r="G21" s="3" t="s">
        <v>219</v>
      </c>
      <c r="H21" s="3" t="s">
        <v>277</v>
      </c>
      <c r="I21" s="3" t="s">
        <v>239</v>
      </c>
      <c r="J21" s="2" t="s">
        <v>278</v>
      </c>
    </row>
    <row r="22" spans="1:10" x14ac:dyDescent="0.2">
      <c r="A22" s="10">
        <v>45941</v>
      </c>
      <c r="B22" s="10">
        <v>45941</v>
      </c>
      <c r="C22" s="11" t="s">
        <v>279</v>
      </c>
      <c r="D22" s="12" t="s">
        <v>280</v>
      </c>
      <c r="E22" s="12" t="s">
        <v>251</v>
      </c>
      <c r="F22" s="13">
        <v>-99387.22</v>
      </c>
      <c r="G22" s="12" t="s">
        <v>212</v>
      </c>
      <c r="H22" s="12" t="s">
        <v>281</v>
      </c>
      <c r="I22" s="12" t="s">
        <v>239</v>
      </c>
      <c r="J22" s="11" t="s">
        <v>282</v>
      </c>
    </row>
    <row r="23" spans="1:10" x14ac:dyDescent="0.2">
      <c r="A23" s="1">
        <v>45941</v>
      </c>
      <c r="B23" s="1">
        <v>45911</v>
      </c>
      <c r="C23" s="2" t="s">
        <v>283</v>
      </c>
      <c r="D23" s="3" t="s">
        <v>280</v>
      </c>
      <c r="E23" s="3" t="s">
        <v>233</v>
      </c>
      <c r="F23" s="4">
        <v>30816.52</v>
      </c>
      <c r="G23" s="3" t="s">
        <v>219</v>
      </c>
      <c r="H23" s="3" t="s">
        <v>284</v>
      </c>
      <c r="I23" s="3" t="s">
        <v>239</v>
      </c>
      <c r="J23" s="2" t="s">
        <v>285</v>
      </c>
    </row>
    <row r="24" spans="1:10" x14ac:dyDescent="0.2">
      <c r="A24" s="10">
        <v>45942</v>
      </c>
      <c r="B24" s="10">
        <v>45912</v>
      </c>
      <c r="C24" s="11" t="s">
        <v>286</v>
      </c>
      <c r="D24" s="12" t="s">
        <v>250</v>
      </c>
      <c r="E24" s="12" t="s">
        <v>245</v>
      </c>
      <c r="F24" s="13">
        <v>-89876.57</v>
      </c>
      <c r="G24" s="12" t="s">
        <v>212</v>
      </c>
      <c r="H24" s="12"/>
      <c r="I24" s="12" t="s">
        <v>227</v>
      </c>
      <c r="J24" s="11" t="s">
        <v>282</v>
      </c>
    </row>
    <row r="25" spans="1:10" x14ac:dyDescent="0.2">
      <c r="A25" s="1">
        <v>45943</v>
      </c>
      <c r="B25" s="1">
        <v>45913</v>
      </c>
      <c r="C25" s="2" t="s">
        <v>287</v>
      </c>
      <c r="D25" s="3" t="s">
        <v>210</v>
      </c>
      <c r="E25" s="3" t="s">
        <v>274</v>
      </c>
      <c r="F25" s="4">
        <v>-171493.52</v>
      </c>
      <c r="G25" s="3" t="s">
        <v>212</v>
      </c>
      <c r="H25" s="3" t="s">
        <v>288</v>
      </c>
      <c r="I25" s="3" t="s">
        <v>239</v>
      </c>
      <c r="J25" s="2" t="s">
        <v>243</v>
      </c>
    </row>
    <row r="26" spans="1:10" x14ac:dyDescent="0.2">
      <c r="A26" s="10">
        <v>45943</v>
      </c>
      <c r="B26" s="10">
        <v>45943</v>
      </c>
      <c r="C26" s="11" t="s">
        <v>289</v>
      </c>
      <c r="D26" s="12" t="s">
        <v>217</v>
      </c>
      <c r="E26" s="12" t="s">
        <v>230</v>
      </c>
      <c r="F26" s="13">
        <v>209819.43</v>
      </c>
      <c r="G26" s="12" t="s">
        <v>219</v>
      </c>
      <c r="H26" s="12" t="s">
        <v>290</v>
      </c>
      <c r="I26" s="12" t="s">
        <v>239</v>
      </c>
      <c r="J26" s="11" t="s">
        <v>240</v>
      </c>
    </row>
    <row r="27" spans="1:10" x14ac:dyDescent="0.2">
      <c r="A27" s="68">
        <v>45944</v>
      </c>
      <c r="B27" s="68">
        <v>45944</v>
      </c>
      <c r="C27" s="69" t="s">
        <v>287</v>
      </c>
      <c r="D27" s="70" t="s">
        <v>224</v>
      </c>
      <c r="E27" s="70" t="s">
        <v>274</v>
      </c>
      <c r="F27" s="71">
        <v>-130532.26</v>
      </c>
      <c r="G27" s="70" t="s">
        <v>212</v>
      </c>
      <c r="H27" s="70" t="s">
        <v>291</v>
      </c>
      <c r="I27" s="70" t="s">
        <v>214</v>
      </c>
      <c r="J27" s="69" t="s">
        <v>243</v>
      </c>
    </row>
    <row r="28" spans="1:10" x14ac:dyDescent="0.2">
      <c r="A28" s="10">
        <v>45944</v>
      </c>
      <c r="B28" s="10">
        <v>45944</v>
      </c>
      <c r="C28" s="11" t="s">
        <v>292</v>
      </c>
      <c r="D28" s="12" t="s">
        <v>280</v>
      </c>
      <c r="E28" s="12" t="s">
        <v>211</v>
      </c>
      <c r="F28" s="13">
        <v>-134213.17000000001</v>
      </c>
      <c r="G28" s="12" t="s">
        <v>212</v>
      </c>
      <c r="H28" s="12" t="s">
        <v>293</v>
      </c>
      <c r="I28" s="12" t="s">
        <v>239</v>
      </c>
      <c r="J28" s="11" t="s">
        <v>228</v>
      </c>
    </row>
    <row r="29" spans="1:10" x14ac:dyDescent="0.2">
      <c r="A29" s="1">
        <v>45945</v>
      </c>
      <c r="B29" s="1">
        <v>45885</v>
      </c>
      <c r="C29" s="2" t="s">
        <v>294</v>
      </c>
      <c r="D29" s="3" t="s">
        <v>280</v>
      </c>
      <c r="E29" s="3" t="s">
        <v>295</v>
      </c>
      <c r="F29" s="4">
        <v>-156591.03</v>
      </c>
      <c r="G29" s="3" t="s">
        <v>212</v>
      </c>
      <c r="H29" s="3" t="s">
        <v>296</v>
      </c>
      <c r="I29" s="3" t="s">
        <v>239</v>
      </c>
      <c r="J29" s="2" t="s">
        <v>215</v>
      </c>
    </row>
    <row r="30" spans="1:10" x14ac:dyDescent="0.2">
      <c r="A30" s="68">
        <v>45946</v>
      </c>
      <c r="B30" s="68">
        <v>45886</v>
      </c>
      <c r="C30" s="69" t="s">
        <v>297</v>
      </c>
      <c r="D30" s="70" t="s">
        <v>280</v>
      </c>
      <c r="E30" s="70" t="s">
        <v>242</v>
      </c>
      <c r="F30" s="71">
        <v>-57622.239999999998</v>
      </c>
      <c r="G30" s="70" t="s">
        <v>212</v>
      </c>
      <c r="H30" s="70"/>
      <c r="I30" s="70" t="s">
        <v>214</v>
      </c>
      <c r="J30" s="69" t="s">
        <v>298</v>
      </c>
    </row>
    <row r="31" spans="1:10" x14ac:dyDescent="0.2">
      <c r="A31" s="1">
        <v>45946</v>
      </c>
      <c r="B31" s="1">
        <v>45886</v>
      </c>
      <c r="C31" s="2" t="s">
        <v>292</v>
      </c>
      <c r="D31" s="3" t="s">
        <v>299</v>
      </c>
      <c r="E31" s="3" t="s">
        <v>211</v>
      </c>
      <c r="F31" s="4">
        <v>-131201.63</v>
      </c>
      <c r="G31" s="3" t="s">
        <v>212</v>
      </c>
      <c r="H31" s="3" t="s">
        <v>300</v>
      </c>
      <c r="I31" s="3" t="s">
        <v>227</v>
      </c>
      <c r="J31" s="2" t="s">
        <v>228</v>
      </c>
    </row>
    <row r="32" spans="1:10" x14ac:dyDescent="0.2">
      <c r="A32" s="10">
        <v>45946</v>
      </c>
      <c r="B32" s="10">
        <v>45946</v>
      </c>
      <c r="C32" s="11" t="s">
        <v>301</v>
      </c>
      <c r="D32" s="12" t="s">
        <v>217</v>
      </c>
      <c r="E32" s="12" t="s">
        <v>237</v>
      </c>
      <c r="F32" s="13">
        <v>79182.17</v>
      </c>
      <c r="G32" s="12" t="s">
        <v>219</v>
      </c>
      <c r="H32" s="12" t="s">
        <v>302</v>
      </c>
      <c r="I32" s="12" t="s">
        <v>239</v>
      </c>
      <c r="J32" s="11" t="s">
        <v>303</v>
      </c>
    </row>
    <row r="33" spans="1:10" x14ac:dyDescent="0.2">
      <c r="A33" s="1">
        <v>45946</v>
      </c>
      <c r="B33" s="1">
        <v>45946</v>
      </c>
      <c r="C33" s="2" t="s">
        <v>304</v>
      </c>
      <c r="D33" s="3" t="s">
        <v>224</v>
      </c>
      <c r="E33" s="3" t="s">
        <v>251</v>
      </c>
      <c r="F33" s="4">
        <v>-108572.52</v>
      </c>
      <c r="G33" s="3" t="s">
        <v>212</v>
      </c>
      <c r="H33" s="3" t="s">
        <v>305</v>
      </c>
      <c r="I33" s="3" t="s">
        <v>227</v>
      </c>
      <c r="J33" s="2" t="s">
        <v>306</v>
      </c>
    </row>
    <row r="34" spans="1:10" x14ac:dyDescent="0.2">
      <c r="A34" s="10">
        <v>45947</v>
      </c>
      <c r="B34" s="10">
        <v>45917</v>
      </c>
      <c r="C34" s="11" t="s">
        <v>307</v>
      </c>
      <c r="D34" s="12" t="s">
        <v>267</v>
      </c>
      <c r="E34" s="12" t="s">
        <v>308</v>
      </c>
      <c r="F34" s="13">
        <v>-249898.96</v>
      </c>
      <c r="G34" s="12" t="s">
        <v>212</v>
      </c>
      <c r="H34" s="12" t="s">
        <v>309</v>
      </c>
      <c r="I34" s="12" t="s">
        <v>239</v>
      </c>
      <c r="J34" s="11" t="s">
        <v>248</v>
      </c>
    </row>
    <row r="35" spans="1:10" x14ac:dyDescent="0.2">
      <c r="A35" s="68">
        <v>45947</v>
      </c>
      <c r="B35" s="68">
        <v>45947</v>
      </c>
      <c r="C35" s="69" t="s">
        <v>310</v>
      </c>
      <c r="D35" s="70" t="s">
        <v>250</v>
      </c>
      <c r="E35" s="70" t="s">
        <v>242</v>
      </c>
      <c r="F35" s="71">
        <v>-129581.32</v>
      </c>
      <c r="G35" s="70" t="s">
        <v>212</v>
      </c>
      <c r="H35" s="70"/>
      <c r="I35" s="70" t="s">
        <v>214</v>
      </c>
      <c r="J35" s="69" t="s">
        <v>311</v>
      </c>
    </row>
    <row r="36" spans="1:10" x14ac:dyDescent="0.2">
      <c r="A36" s="10">
        <v>45947</v>
      </c>
      <c r="B36" s="10">
        <v>45917</v>
      </c>
      <c r="C36" s="11" t="s">
        <v>312</v>
      </c>
      <c r="D36" s="12" t="s">
        <v>210</v>
      </c>
      <c r="E36" s="12" t="s">
        <v>225</v>
      </c>
      <c r="F36" s="13">
        <v>-6172.46</v>
      </c>
      <c r="G36" s="12" t="s">
        <v>212</v>
      </c>
      <c r="H36" s="12" t="s">
        <v>313</v>
      </c>
      <c r="I36" s="12" t="s">
        <v>239</v>
      </c>
      <c r="J36" s="11" t="s">
        <v>314</v>
      </c>
    </row>
    <row r="37" spans="1:10" x14ac:dyDescent="0.2">
      <c r="A37" s="1">
        <v>45947</v>
      </c>
      <c r="B37" s="1">
        <v>45947</v>
      </c>
      <c r="C37" s="2" t="s">
        <v>315</v>
      </c>
      <c r="D37" s="3" t="s">
        <v>250</v>
      </c>
      <c r="E37" s="3" t="s">
        <v>245</v>
      </c>
      <c r="F37" s="4">
        <v>-234424.94</v>
      </c>
      <c r="G37" s="3" t="s">
        <v>212</v>
      </c>
      <c r="H37" s="3"/>
      <c r="I37" s="3" t="s">
        <v>227</v>
      </c>
      <c r="J37" s="2" t="s">
        <v>228</v>
      </c>
    </row>
    <row r="38" spans="1:10" x14ac:dyDescent="0.2">
      <c r="A38" s="10">
        <v>45949</v>
      </c>
      <c r="B38" s="10">
        <v>45919</v>
      </c>
      <c r="C38" s="11" t="s">
        <v>269</v>
      </c>
      <c r="D38" s="12" t="s">
        <v>267</v>
      </c>
      <c r="E38" s="12" t="s">
        <v>245</v>
      </c>
      <c r="F38" s="13">
        <v>-122619.95</v>
      </c>
      <c r="G38" s="12" t="s">
        <v>212</v>
      </c>
      <c r="H38" s="12" t="s">
        <v>316</v>
      </c>
      <c r="I38" s="12" t="s">
        <v>227</v>
      </c>
      <c r="J38" s="11" t="s">
        <v>243</v>
      </c>
    </row>
    <row r="39" spans="1:10" x14ac:dyDescent="0.2">
      <c r="A39" s="68">
        <v>45949</v>
      </c>
      <c r="B39" s="68">
        <v>45919</v>
      </c>
      <c r="C39" s="69" t="s">
        <v>317</v>
      </c>
      <c r="D39" s="70" t="s">
        <v>217</v>
      </c>
      <c r="E39" s="70" t="s">
        <v>230</v>
      </c>
      <c r="F39" s="71">
        <v>314564.18</v>
      </c>
      <c r="G39" s="70" t="s">
        <v>219</v>
      </c>
      <c r="H39" s="70" t="s">
        <v>290</v>
      </c>
      <c r="I39" s="70" t="s">
        <v>214</v>
      </c>
      <c r="J39" s="69" t="s">
        <v>235</v>
      </c>
    </row>
    <row r="40" spans="1:10" x14ac:dyDescent="0.2">
      <c r="A40" s="10">
        <v>45950</v>
      </c>
      <c r="B40" s="10">
        <v>45950</v>
      </c>
      <c r="C40" s="11" t="s">
        <v>318</v>
      </c>
      <c r="D40" s="12" t="s">
        <v>280</v>
      </c>
      <c r="E40" s="12" t="s">
        <v>218</v>
      </c>
      <c r="F40" s="13">
        <v>279733.74</v>
      </c>
      <c r="G40" s="12" t="s">
        <v>219</v>
      </c>
      <c r="H40" s="12" t="s">
        <v>319</v>
      </c>
      <c r="I40" s="12" t="s">
        <v>239</v>
      </c>
      <c r="J40" s="11" t="s">
        <v>320</v>
      </c>
    </row>
    <row r="41" spans="1:10" x14ac:dyDescent="0.2">
      <c r="A41" s="68">
        <v>45950</v>
      </c>
      <c r="B41" s="68">
        <v>45950</v>
      </c>
      <c r="C41" s="69" t="s">
        <v>321</v>
      </c>
      <c r="D41" s="70" t="s">
        <v>299</v>
      </c>
      <c r="E41" s="70" t="s">
        <v>264</v>
      </c>
      <c r="F41" s="71">
        <v>-104285.87</v>
      </c>
      <c r="G41" s="70" t="s">
        <v>212</v>
      </c>
      <c r="H41" s="70" t="s">
        <v>322</v>
      </c>
      <c r="I41" s="70" t="s">
        <v>214</v>
      </c>
      <c r="J41" s="69" t="s">
        <v>311</v>
      </c>
    </row>
    <row r="42" spans="1:10" x14ac:dyDescent="0.2">
      <c r="A42" s="10">
        <v>45950</v>
      </c>
      <c r="B42" s="10">
        <v>45920</v>
      </c>
      <c r="C42" s="11" t="s">
        <v>244</v>
      </c>
      <c r="D42" s="12" t="s">
        <v>210</v>
      </c>
      <c r="E42" s="12" t="s">
        <v>245</v>
      </c>
      <c r="F42" s="13">
        <v>-208714.35</v>
      </c>
      <c r="G42" s="12" t="s">
        <v>212</v>
      </c>
      <c r="H42" s="12" t="s">
        <v>323</v>
      </c>
      <c r="I42" s="12" t="s">
        <v>239</v>
      </c>
      <c r="J42" s="11" t="s">
        <v>215</v>
      </c>
    </row>
    <row r="43" spans="1:10" x14ac:dyDescent="0.2">
      <c r="A43" s="68">
        <v>45952</v>
      </c>
      <c r="B43" s="68">
        <v>45952</v>
      </c>
      <c r="C43" s="69" t="s">
        <v>324</v>
      </c>
      <c r="D43" s="70" t="s">
        <v>224</v>
      </c>
      <c r="E43" s="70" t="s">
        <v>295</v>
      </c>
      <c r="F43" s="71">
        <v>-48878.97</v>
      </c>
      <c r="G43" s="70" t="s">
        <v>212</v>
      </c>
      <c r="H43" s="70" t="s">
        <v>325</v>
      </c>
      <c r="I43" s="70" t="s">
        <v>214</v>
      </c>
      <c r="J43" s="69" t="s">
        <v>248</v>
      </c>
    </row>
    <row r="44" spans="1:10" x14ac:dyDescent="0.2">
      <c r="A44" s="68">
        <v>45952</v>
      </c>
      <c r="B44" s="68">
        <v>45922</v>
      </c>
      <c r="C44" s="69" t="s">
        <v>326</v>
      </c>
      <c r="D44" s="70" t="s">
        <v>250</v>
      </c>
      <c r="E44" s="70" t="s">
        <v>327</v>
      </c>
      <c r="F44" s="71">
        <v>-180036.63</v>
      </c>
      <c r="G44" s="70" t="s">
        <v>212</v>
      </c>
      <c r="H44" s="70" t="s">
        <v>328</v>
      </c>
      <c r="I44" s="70" t="s">
        <v>214</v>
      </c>
      <c r="J44" s="69" t="s">
        <v>329</v>
      </c>
    </row>
    <row r="45" spans="1:10" x14ac:dyDescent="0.2">
      <c r="A45" s="68">
        <v>45952</v>
      </c>
      <c r="B45" s="68">
        <v>45952</v>
      </c>
      <c r="C45" s="69" t="s">
        <v>330</v>
      </c>
      <c r="D45" s="70" t="s">
        <v>299</v>
      </c>
      <c r="E45" s="70" t="s">
        <v>274</v>
      </c>
      <c r="F45" s="71">
        <v>-236897.04</v>
      </c>
      <c r="G45" s="70" t="s">
        <v>212</v>
      </c>
      <c r="H45" s="70" t="s">
        <v>331</v>
      </c>
      <c r="I45" s="70" t="s">
        <v>214</v>
      </c>
      <c r="J45" s="69" t="s">
        <v>253</v>
      </c>
    </row>
    <row r="46" spans="1:10" x14ac:dyDescent="0.2">
      <c r="A46" s="10">
        <v>45952</v>
      </c>
      <c r="B46" s="10">
        <v>45922</v>
      </c>
      <c r="C46" s="11" t="s">
        <v>332</v>
      </c>
      <c r="D46" s="12" t="s">
        <v>299</v>
      </c>
      <c r="E46" s="12" t="s">
        <v>308</v>
      </c>
      <c r="F46" s="13">
        <v>-67467.5</v>
      </c>
      <c r="G46" s="12" t="s">
        <v>212</v>
      </c>
      <c r="H46" s="12"/>
      <c r="I46" s="12" t="s">
        <v>239</v>
      </c>
      <c r="J46" s="11" t="s">
        <v>298</v>
      </c>
    </row>
    <row r="47" spans="1:10" x14ac:dyDescent="0.2">
      <c r="A47" s="1">
        <v>45952</v>
      </c>
      <c r="B47" s="1">
        <v>45922</v>
      </c>
      <c r="C47" s="2" t="s">
        <v>244</v>
      </c>
      <c r="D47" s="3" t="s">
        <v>250</v>
      </c>
      <c r="E47" s="3" t="s">
        <v>245</v>
      </c>
      <c r="F47" s="4">
        <v>-161862.53</v>
      </c>
      <c r="G47" s="3" t="s">
        <v>212</v>
      </c>
      <c r="H47" s="3" t="s">
        <v>333</v>
      </c>
      <c r="I47" s="3" t="s">
        <v>221</v>
      </c>
      <c r="J47" s="2" t="s">
        <v>215</v>
      </c>
    </row>
    <row r="48" spans="1:10" x14ac:dyDescent="0.2">
      <c r="A48" s="10">
        <v>45953</v>
      </c>
      <c r="B48" s="10">
        <v>45953</v>
      </c>
      <c r="C48" s="11" t="s">
        <v>334</v>
      </c>
      <c r="D48" s="12" t="s">
        <v>217</v>
      </c>
      <c r="E48" s="12" t="s">
        <v>308</v>
      </c>
      <c r="F48" s="13">
        <v>-44838.22</v>
      </c>
      <c r="G48" s="12" t="s">
        <v>212</v>
      </c>
      <c r="H48" s="12"/>
      <c r="I48" s="12" t="s">
        <v>227</v>
      </c>
      <c r="J48" s="11" t="s">
        <v>253</v>
      </c>
    </row>
    <row r="49" spans="1:10" x14ac:dyDescent="0.2">
      <c r="A49" s="1">
        <v>45956</v>
      </c>
      <c r="B49" s="1">
        <v>45956</v>
      </c>
      <c r="C49" s="2" t="s">
        <v>335</v>
      </c>
      <c r="D49" s="3" t="s">
        <v>217</v>
      </c>
      <c r="E49" s="3" t="s">
        <v>233</v>
      </c>
      <c r="F49" s="4">
        <v>194971.67</v>
      </c>
      <c r="G49" s="3" t="s">
        <v>219</v>
      </c>
      <c r="H49" s="3" t="s">
        <v>336</v>
      </c>
      <c r="I49" s="3" t="s">
        <v>239</v>
      </c>
      <c r="J49" s="2" t="s">
        <v>278</v>
      </c>
    </row>
    <row r="50" spans="1:10" x14ac:dyDescent="0.2">
      <c r="A50" s="10">
        <v>45956</v>
      </c>
      <c r="B50" s="10">
        <v>45896</v>
      </c>
      <c r="C50" s="11" t="s">
        <v>337</v>
      </c>
      <c r="D50" s="12" t="s">
        <v>217</v>
      </c>
      <c r="E50" s="12" t="s">
        <v>218</v>
      </c>
      <c r="F50" s="13">
        <v>25546.81</v>
      </c>
      <c r="G50" s="12" t="s">
        <v>219</v>
      </c>
      <c r="H50" s="12" t="s">
        <v>338</v>
      </c>
      <c r="I50" s="12" t="s">
        <v>221</v>
      </c>
      <c r="J50" s="11" t="s">
        <v>285</v>
      </c>
    </row>
    <row r="51" spans="1:10" x14ac:dyDescent="0.2">
      <c r="A51" s="1">
        <v>45958</v>
      </c>
      <c r="B51" s="1">
        <v>45958</v>
      </c>
      <c r="C51" s="2" t="s">
        <v>339</v>
      </c>
      <c r="D51" s="3" t="s">
        <v>217</v>
      </c>
      <c r="E51" s="3" t="s">
        <v>230</v>
      </c>
      <c r="F51" s="4">
        <v>16954.060000000001</v>
      </c>
      <c r="G51" s="3" t="s">
        <v>219</v>
      </c>
      <c r="H51" s="3" t="s">
        <v>340</v>
      </c>
      <c r="I51" s="3" t="s">
        <v>227</v>
      </c>
      <c r="J51" s="2" t="s">
        <v>320</v>
      </c>
    </row>
    <row r="52" spans="1:10" x14ac:dyDescent="0.2">
      <c r="A52" s="10">
        <v>45960</v>
      </c>
      <c r="B52" s="10">
        <v>45930</v>
      </c>
      <c r="C52" s="11" t="s">
        <v>339</v>
      </c>
      <c r="D52" s="12" t="s">
        <v>217</v>
      </c>
      <c r="E52" s="12" t="s">
        <v>230</v>
      </c>
      <c r="F52" s="13">
        <v>131905.13</v>
      </c>
      <c r="G52" s="12" t="s">
        <v>219</v>
      </c>
      <c r="H52" s="12" t="s">
        <v>336</v>
      </c>
      <c r="I52" s="12" t="s">
        <v>239</v>
      </c>
      <c r="J52" s="11" t="s">
        <v>320</v>
      </c>
    </row>
    <row r="53" spans="1:10" x14ac:dyDescent="0.2">
      <c r="A53" s="1">
        <v>45960</v>
      </c>
      <c r="B53" s="1">
        <v>45930</v>
      </c>
      <c r="C53" s="2" t="s">
        <v>304</v>
      </c>
      <c r="D53" s="3" t="s">
        <v>217</v>
      </c>
      <c r="E53" s="3" t="s">
        <v>251</v>
      </c>
      <c r="F53" s="4">
        <v>-13169.63</v>
      </c>
      <c r="G53" s="3" t="s">
        <v>212</v>
      </c>
      <c r="H53" s="3" t="s">
        <v>341</v>
      </c>
      <c r="I53" s="3" t="s">
        <v>221</v>
      </c>
      <c r="J53" s="2" t="s">
        <v>306</v>
      </c>
    </row>
    <row r="54" spans="1:10" x14ac:dyDescent="0.2">
      <c r="A54" s="10">
        <v>45961</v>
      </c>
      <c r="B54" s="10">
        <v>45961</v>
      </c>
      <c r="C54" s="11" t="s">
        <v>342</v>
      </c>
      <c r="D54" s="12" t="s">
        <v>217</v>
      </c>
      <c r="E54" s="12" t="s">
        <v>230</v>
      </c>
      <c r="F54" s="13">
        <v>212827.65</v>
      </c>
      <c r="G54" s="12" t="s">
        <v>219</v>
      </c>
      <c r="H54" s="12" t="s">
        <v>343</v>
      </c>
      <c r="I54" s="12" t="s">
        <v>239</v>
      </c>
      <c r="J54" s="11" t="s">
        <v>278</v>
      </c>
    </row>
    <row r="55" spans="1:10" x14ac:dyDescent="0.2">
      <c r="A55" s="1">
        <v>45961</v>
      </c>
      <c r="B55" s="1">
        <v>45931</v>
      </c>
      <c r="C55" s="2" t="s">
        <v>286</v>
      </c>
      <c r="D55" s="3" t="s">
        <v>280</v>
      </c>
      <c r="E55" s="3" t="s">
        <v>245</v>
      </c>
      <c r="F55" s="4">
        <v>-131109.4</v>
      </c>
      <c r="G55" s="3" t="s">
        <v>212</v>
      </c>
      <c r="H55" s="3" t="s">
        <v>344</v>
      </c>
      <c r="I55" s="3" t="s">
        <v>227</v>
      </c>
      <c r="J55" s="2" t="s">
        <v>282</v>
      </c>
    </row>
    <row r="56" spans="1:10" x14ac:dyDescent="0.2">
      <c r="A56" s="10">
        <v>45961</v>
      </c>
      <c r="B56" s="10">
        <v>45961</v>
      </c>
      <c r="C56" s="11" t="s">
        <v>339</v>
      </c>
      <c r="D56" s="12" t="s">
        <v>217</v>
      </c>
      <c r="E56" s="12" t="s">
        <v>230</v>
      </c>
      <c r="F56" s="13">
        <v>53602.78</v>
      </c>
      <c r="G56" s="12" t="s">
        <v>219</v>
      </c>
      <c r="H56" s="12" t="s">
        <v>345</v>
      </c>
      <c r="I56" s="12" t="s">
        <v>239</v>
      </c>
      <c r="J56" s="11" t="s">
        <v>320</v>
      </c>
    </row>
    <row r="57" spans="1:10" x14ac:dyDescent="0.2">
      <c r="A57" s="1">
        <v>45961</v>
      </c>
      <c r="B57" s="1">
        <v>45961</v>
      </c>
      <c r="C57" s="2" t="s">
        <v>346</v>
      </c>
      <c r="D57" s="3" t="s">
        <v>217</v>
      </c>
      <c r="E57" s="3" t="s">
        <v>308</v>
      </c>
      <c r="F57" s="4">
        <v>-101651.44</v>
      </c>
      <c r="G57" s="3" t="s">
        <v>212</v>
      </c>
      <c r="H57" s="3" t="s">
        <v>347</v>
      </c>
      <c r="I57" s="3" t="s">
        <v>227</v>
      </c>
      <c r="J57" s="2" t="s">
        <v>311</v>
      </c>
    </row>
    <row r="58" spans="1:10" x14ac:dyDescent="0.2">
      <c r="A58" s="10">
        <v>45961</v>
      </c>
      <c r="B58" s="10">
        <v>45961</v>
      </c>
      <c r="C58" s="11" t="s">
        <v>348</v>
      </c>
      <c r="D58" s="12" t="s">
        <v>280</v>
      </c>
      <c r="E58" s="12" t="s">
        <v>237</v>
      </c>
      <c r="F58" s="13">
        <v>161413.29</v>
      </c>
      <c r="G58" s="12" t="s">
        <v>219</v>
      </c>
      <c r="H58" s="12" t="s">
        <v>349</v>
      </c>
      <c r="I58" s="12" t="s">
        <v>239</v>
      </c>
      <c r="J58" s="11" t="s">
        <v>350</v>
      </c>
    </row>
    <row r="59" spans="1:10" x14ac:dyDescent="0.2">
      <c r="A59" s="1">
        <v>45961</v>
      </c>
      <c r="B59" s="1">
        <v>45961</v>
      </c>
      <c r="C59" s="2" t="s">
        <v>351</v>
      </c>
      <c r="D59" s="3" t="s">
        <v>280</v>
      </c>
      <c r="E59" s="3" t="s">
        <v>245</v>
      </c>
      <c r="F59" s="4">
        <v>-205504.62</v>
      </c>
      <c r="G59" s="3" t="s">
        <v>212</v>
      </c>
      <c r="H59" s="3" t="s">
        <v>352</v>
      </c>
      <c r="I59" s="3" t="s">
        <v>239</v>
      </c>
      <c r="J59" s="2" t="s">
        <v>298</v>
      </c>
    </row>
    <row r="60" spans="1:10" x14ac:dyDescent="0.2">
      <c r="A60" s="10">
        <v>45962</v>
      </c>
      <c r="B60" s="10">
        <v>45902</v>
      </c>
      <c r="C60" s="11" t="s">
        <v>312</v>
      </c>
      <c r="D60" s="12" t="s">
        <v>224</v>
      </c>
      <c r="E60" s="12" t="s">
        <v>225</v>
      </c>
      <c r="F60" s="13">
        <v>-180421.54</v>
      </c>
      <c r="G60" s="12" t="s">
        <v>212</v>
      </c>
      <c r="H60" s="12"/>
      <c r="I60" s="12" t="s">
        <v>221</v>
      </c>
      <c r="J60" s="11" t="s">
        <v>314</v>
      </c>
    </row>
    <row r="61" spans="1:10" x14ac:dyDescent="0.2">
      <c r="A61" s="1">
        <v>45962</v>
      </c>
      <c r="B61" s="1">
        <v>45932</v>
      </c>
      <c r="C61" s="2" t="s">
        <v>301</v>
      </c>
      <c r="D61" s="3" t="s">
        <v>217</v>
      </c>
      <c r="E61" s="3" t="s">
        <v>237</v>
      </c>
      <c r="F61" s="4">
        <v>253542.69</v>
      </c>
      <c r="G61" s="3" t="s">
        <v>219</v>
      </c>
      <c r="H61" s="3" t="s">
        <v>345</v>
      </c>
      <c r="I61" s="3" t="s">
        <v>227</v>
      </c>
      <c r="J61" s="2" t="s">
        <v>303</v>
      </c>
    </row>
    <row r="62" spans="1:10" x14ac:dyDescent="0.2">
      <c r="A62" s="10">
        <v>45964</v>
      </c>
      <c r="B62" s="10">
        <v>45964</v>
      </c>
      <c r="C62" s="11" t="s">
        <v>353</v>
      </c>
      <c r="D62" s="12" t="s">
        <v>217</v>
      </c>
      <c r="E62" s="12" t="s">
        <v>218</v>
      </c>
      <c r="F62" s="13">
        <v>109171.31</v>
      </c>
      <c r="G62" s="12" t="s">
        <v>219</v>
      </c>
      <c r="H62" s="12" t="s">
        <v>354</v>
      </c>
      <c r="I62" s="12" t="s">
        <v>239</v>
      </c>
      <c r="J62" s="11" t="s">
        <v>303</v>
      </c>
    </row>
    <row r="63" spans="1:10" x14ac:dyDescent="0.2">
      <c r="A63" s="1">
        <v>45964</v>
      </c>
      <c r="B63" s="1">
        <v>45934</v>
      </c>
      <c r="C63" s="2" t="s">
        <v>355</v>
      </c>
      <c r="D63" s="3" t="s">
        <v>299</v>
      </c>
      <c r="E63" s="3" t="s">
        <v>245</v>
      </c>
      <c r="F63" s="4">
        <v>-149444.22</v>
      </c>
      <c r="G63" s="3" t="s">
        <v>212</v>
      </c>
      <c r="H63" s="3" t="s">
        <v>356</v>
      </c>
      <c r="I63" s="3" t="s">
        <v>239</v>
      </c>
      <c r="J63" s="2" t="s">
        <v>357</v>
      </c>
    </row>
    <row r="64" spans="1:10" x14ac:dyDescent="0.2">
      <c r="A64" s="10">
        <v>45966</v>
      </c>
      <c r="B64" s="10">
        <v>45936</v>
      </c>
      <c r="C64" s="11" t="s">
        <v>358</v>
      </c>
      <c r="D64" s="12" t="s">
        <v>250</v>
      </c>
      <c r="E64" s="12" t="s">
        <v>264</v>
      </c>
      <c r="F64" s="13">
        <v>-159559.38</v>
      </c>
      <c r="G64" s="12" t="s">
        <v>212</v>
      </c>
      <c r="H64" s="12" t="s">
        <v>359</v>
      </c>
      <c r="I64" s="12" t="s">
        <v>239</v>
      </c>
      <c r="J64" s="11" t="s">
        <v>306</v>
      </c>
    </row>
    <row r="65" spans="1:10" x14ac:dyDescent="0.2">
      <c r="A65" s="1">
        <v>45966</v>
      </c>
      <c r="B65" s="1">
        <v>45966</v>
      </c>
      <c r="C65" s="2" t="s">
        <v>360</v>
      </c>
      <c r="D65" s="3" t="s">
        <v>217</v>
      </c>
      <c r="E65" s="3" t="s">
        <v>233</v>
      </c>
      <c r="F65" s="4">
        <v>314037.36</v>
      </c>
      <c r="G65" s="3" t="s">
        <v>219</v>
      </c>
      <c r="H65" s="3" t="s">
        <v>231</v>
      </c>
      <c r="I65" s="3" t="s">
        <v>221</v>
      </c>
      <c r="J65" s="2" t="s">
        <v>222</v>
      </c>
    </row>
    <row r="66" spans="1:10" x14ac:dyDescent="0.2">
      <c r="A66" s="68">
        <v>45967</v>
      </c>
      <c r="B66" s="68">
        <v>45967</v>
      </c>
      <c r="C66" s="69" t="s">
        <v>283</v>
      </c>
      <c r="D66" s="70" t="s">
        <v>217</v>
      </c>
      <c r="E66" s="70" t="s">
        <v>233</v>
      </c>
      <c r="F66" s="71">
        <v>134189.01999999999</v>
      </c>
      <c r="G66" s="70" t="s">
        <v>219</v>
      </c>
      <c r="H66" s="70" t="s">
        <v>361</v>
      </c>
      <c r="I66" s="70" t="s">
        <v>214</v>
      </c>
      <c r="J66" s="69" t="s">
        <v>285</v>
      </c>
    </row>
    <row r="67" spans="1:10" x14ac:dyDescent="0.2">
      <c r="A67" s="1">
        <v>45967</v>
      </c>
      <c r="B67" s="1">
        <v>45907</v>
      </c>
      <c r="C67" s="2" t="s">
        <v>362</v>
      </c>
      <c r="D67" s="3" t="s">
        <v>224</v>
      </c>
      <c r="E67" s="3" t="s">
        <v>264</v>
      </c>
      <c r="F67" s="4">
        <v>-114458.17</v>
      </c>
      <c r="G67" s="3" t="s">
        <v>212</v>
      </c>
      <c r="H67" s="3" t="s">
        <v>363</v>
      </c>
      <c r="I67" s="3" t="s">
        <v>227</v>
      </c>
      <c r="J67" s="2" t="s">
        <v>228</v>
      </c>
    </row>
    <row r="68" spans="1:10" x14ac:dyDescent="0.2">
      <c r="A68" s="10">
        <v>45968</v>
      </c>
      <c r="B68" s="10">
        <v>45968</v>
      </c>
      <c r="C68" s="11" t="s">
        <v>364</v>
      </c>
      <c r="D68" s="12" t="s">
        <v>217</v>
      </c>
      <c r="E68" s="12" t="s">
        <v>233</v>
      </c>
      <c r="F68" s="13">
        <v>65614.710000000006</v>
      </c>
      <c r="G68" s="12" t="s">
        <v>219</v>
      </c>
      <c r="H68" s="12" t="s">
        <v>365</v>
      </c>
      <c r="I68" s="12" t="s">
        <v>239</v>
      </c>
      <c r="J68" s="11" t="s">
        <v>320</v>
      </c>
    </row>
    <row r="69" spans="1:10" x14ac:dyDescent="0.2">
      <c r="A69" s="1">
        <v>45968</v>
      </c>
      <c r="B69" s="1">
        <v>45968</v>
      </c>
      <c r="C69" s="2" t="s">
        <v>366</v>
      </c>
      <c r="D69" s="3" t="s">
        <v>217</v>
      </c>
      <c r="E69" s="3" t="s">
        <v>218</v>
      </c>
      <c r="F69" s="4">
        <v>323783.32</v>
      </c>
      <c r="G69" s="3" t="s">
        <v>219</v>
      </c>
      <c r="H69" s="3" t="s">
        <v>271</v>
      </c>
      <c r="I69" s="3" t="s">
        <v>239</v>
      </c>
      <c r="J69" s="2" t="s">
        <v>240</v>
      </c>
    </row>
    <row r="70" spans="1:10" x14ac:dyDescent="0.2">
      <c r="A70" s="10">
        <v>45968</v>
      </c>
      <c r="B70" s="10">
        <v>45968</v>
      </c>
      <c r="C70" s="11" t="s">
        <v>367</v>
      </c>
      <c r="D70" s="12" t="s">
        <v>267</v>
      </c>
      <c r="E70" s="12" t="s">
        <v>251</v>
      </c>
      <c r="F70" s="13">
        <v>-38719.800000000003</v>
      </c>
      <c r="G70" s="12" t="s">
        <v>212</v>
      </c>
      <c r="H70" s="12" t="s">
        <v>368</v>
      </c>
      <c r="I70" s="12" t="s">
        <v>239</v>
      </c>
      <c r="J70" s="11" t="s">
        <v>243</v>
      </c>
    </row>
    <row r="71" spans="1:10" x14ac:dyDescent="0.2">
      <c r="A71" s="1">
        <v>45969</v>
      </c>
      <c r="B71" s="1">
        <v>45969</v>
      </c>
      <c r="C71" s="2" t="s">
        <v>369</v>
      </c>
      <c r="D71" s="3" t="s">
        <v>299</v>
      </c>
      <c r="E71" s="3" t="s">
        <v>218</v>
      </c>
      <c r="F71" s="4">
        <v>161472.73000000001</v>
      </c>
      <c r="G71" s="3" t="s">
        <v>219</v>
      </c>
      <c r="H71" s="3" t="s">
        <v>220</v>
      </c>
      <c r="I71" s="3" t="s">
        <v>239</v>
      </c>
      <c r="J71" s="2" t="s">
        <v>350</v>
      </c>
    </row>
    <row r="72" spans="1:10" x14ac:dyDescent="0.2">
      <c r="A72" s="10">
        <v>45969</v>
      </c>
      <c r="B72" s="10">
        <v>45939</v>
      </c>
      <c r="C72" s="11" t="s">
        <v>370</v>
      </c>
      <c r="D72" s="12" t="s">
        <v>224</v>
      </c>
      <c r="E72" s="12" t="s">
        <v>295</v>
      </c>
      <c r="F72" s="13">
        <v>-122716.74</v>
      </c>
      <c r="G72" s="12" t="s">
        <v>212</v>
      </c>
      <c r="H72" s="12" t="s">
        <v>371</v>
      </c>
      <c r="I72" s="12" t="s">
        <v>239</v>
      </c>
      <c r="J72" s="11" t="s">
        <v>314</v>
      </c>
    </row>
    <row r="73" spans="1:10" x14ac:dyDescent="0.2">
      <c r="A73" s="1">
        <v>45969</v>
      </c>
      <c r="B73" s="1">
        <v>45909</v>
      </c>
      <c r="C73" s="2" t="s">
        <v>372</v>
      </c>
      <c r="D73" s="3" t="s">
        <v>280</v>
      </c>
      <c r="E73" s="3" t="s">
        <v>242</v>
      </c>
      <c r="F73" s="4">
        <v>-140815.29</v>
      </c>
      <c r="G73" s="3" t="s">
        <v>212</v>
      </c>
      <c r="H73" s="3" t="s">
        <v>373</v>
      </c>
      <c r="I73" s="3" t="s">
        <v>239</v>
      </c>
      <c r="J73" s="2" t="s">
        <v>262</v>
      </c>
    </row>
    <row r="74" spans="1:10" x14ac:dyDescent="0.2">
      <c r="A74" s="10">
        <v>45969</v>
      </c>
      <c r="B74" s="10">
        <v>45969</v>
      </c>
      <c r="C74" s="11" t="s">
        <v>374</v>
      </c>
      <c r="D74" s="12" t="s">
        <v>217</v>
      </c>
      <c r="E74" s="12" t="s">
        <v>308</v>
      </c>
      <c r="F74" s="13">
        <v>-180364.41</v>
      </c>
      <c r="G74" s="12" t="s">
        <v>212</v>
      </c>
      <c r="H74" s="12" t="s">
        <v>375</v>
      </c>
      <c r="I74" s="12" t="s">
        <v>239</v>
      </c>
      <c r="J74" s="11" t="s">
        <v>228</v>
      </c>
    </row>
    <row r="75" spans="1:10" x14ac:dyDescent="0.2">
      <c r="A75" s="1">
        <v>45970</v>
      </c>
      <c r="B75" s="1">
        <v>45970</v>
      </c>
      <c r="C75" s="2" t="s">
        <v>376</v>
      </c>
      <c r="D75" s="3" t="s">
        <v>217</v>
      </c>
      <c r="E75" s="3" t="s">
        <v>233</v>
      </c>
      <c r="F75" s="4">
        <v>338506.89</v>
      </c>
      <c r="G75" s="3" t="s">
        <v>219</v>
      </c>
      <c r="H75" s="3" t="s">
        <v>377</v>
      </c>
      <c r="I75" s="3" t="s">
        <v>239</v>
      </c>
      <c r="J75" s="2" t="s">
        <v>350</v>
      </c>
    </row>
    <row r="76" spans="1:10" x14ac:dyDescent="0.2">
      <c r="A76" s="10">
        <v>45971</v>
      </c>
      <c r="B76" s="10">
        <v>45941</v>
      </c>
      <c r="C76" s="11" t="s">
        <v>324</v>
      </c>
      <c r="D76" s="12" t="s">
        <v>224</v>
      </c>
      <c r="E76" s="12" t="s">
        <v>295</v>
      </c>
      <c r="F76" s="13">
        <v>-72945.39</v>
      </c>
      <c r="G76" s="12" t="s">
        <v>212</v>
      </c>
      <c r="H76" s="12" t="s">
        <v>378</v>
      </c>
      <c r="I76" s="12" t="s">
        <v>221</v>
      </c>
      <c r="J76" s="11" t="s">
        <v>248</v>
      </c>
    </row>
    <row r="77" spans="1:10" x14ac:dyDescent="0.2">
      <c r="A77" s="1">
        <v>45971</v>
      </c>
      <c r="B77" s="1">
        <v>45971</v>
      </c>
      <c r="C77" s="2" t="s">
        <v>379</v>
      </c>
      <c r="D77" s="3" t="s">
        <v>217</v>
      </c>
      <c r="E77" s="3" t="s">
        <v>218</v>
      </c>
      <c r="F77" s="4">
        <v>158433.87</v>
      </c>
      <c r="G77" s="3" t="s">
        <v>219</v>
      </c>
      <c r="H77" s="3" t="s">
        <v>343</v>
      </c>
      <c r="I77" s="3" t="s">
        <v>239</v>
      </c>
      <c r="J77" s="2" t="s">
        <v>235</v>
      </c>
    </row>
    <row r="78" spans="1:10" x14ac:dyDescent="0.2">
      <c r="A78" s="68">
        <v>45971</v>
      </c>
      <c r="B78" s="68">
        <v>45971</v>
      </c>
      <c r="C78" s="69" t="s">
        <v>380</v>
      </c>
      <c r="D78" s="70" t="s">
        <v>267</v>
      </c>
      <c r="E78" s="70" t="s">
        <v>255</v>
      </c>
      <c r="F78" s="71">
        <v>-92587.11</v>
      </c>
      <c r="G78" s="70" t="s">
        <v>212</v>
      </c>
      <c r="H78" s="70" t="s">
        <v>381</v>
      </c>
      <c r="I78" s="70" t="s">
        <v>214</v>
      </c>
      <c r="J78" s="69" t="s">
        <v>314</v>
      </c>
    </row>
    <row r="79" spans="1:10" x14ac:dyDescent="0.2">
      <c r="A79" s="68">
        <v>45971</v>
      </c>
      <c r="B79" s="68">
        <v>45911</v>
      </c>
      <c r="C79" s="69" t="s">
        <v>312</v>
      </c>
      <c r="D79" s="70" t="s">
        <v>299</v>
      </c>
      <c r="E79" s="70" t="s">
        <v>225</v>
      </c>
      <c r="F79" s="71">
        <v>-113463.08</v>
      </c>
      <c r="G79" s="70" t="s">
        <v>212</v>
      </c>
      <c r="H79" s="70" t="s">
        <v>382</v>
      </c>
      <c r="I79" s="70" t="s">
        <v>214</v>
      </c>
      <c r="J79" s="69" t="s">
        <v>314</v>
      </c>
    </row>
    <row r="80" spans="1:10" x14ac:dyDescent="0.2">
      <c r="A80" s="10">
        <v>45972</v>
      </c>
      <c r="B80" s="10">
        <v>45972</v>
      </c>
      <c r="C80" s="11" t="s">
        <v>372</v>
      </c>
      <c r="D80" s="12" t="s">
        <v>267</v>
      </c>
      <c r="E80" s="12" t="s">
        <v>242</v>
      </c>
      <c r="F80" s="13">
        <v>-57420.53</v>
      </c>
      <c r="G80" s="12" t="s">
        <v>212</v>
      </c>
      <c r="H80" s="12" t="s">
        <v>383</v>
      </c>
      <c r="I80" s="12" t="s">
        <v>227</v>
      </c>
      <c r="J80" s="11" t="s">
        <v>262</v>
      </c>
    </row>
    <row r="81" spans="1:10" x14ac:dyDescent="0.2">
      <c r="A81" s="1">
        <v>45973</v>
      </c>
      <c r="B81" s="1">
        <v>45943</v>
      </c>
      <c r="C81" s="2" t="s">
        <v>318</v>
      </c>
      <c r="D81" s="3" t="s">
        <v>217</v>
      </c>
      <c r="E81" s="3" t="s">
        <v>218</v>
      </c>
      <c r="F81" s="4">
        <v>36900.080000000002</v>
      </c>
      <c r="G81" s="3" t="s">
        <v>219</v>
      </c>
      <c r="H81" s="3" t="s">
        <v>354</v>
      </c>
      <c r="I81" s="3" t="s">
        <v>239</v>
      </c>
      <c r="J81" s="2" t="s">
        <v>320</v>
      </c>
    </row>
    <row r="82" spans="1:10" x14ac:dyDescent="0.2">
      <c r="A82" s="10">
        <v>45973</v>
      </c>
      <c r="B82" s="10">
        <v>45973</v>
      </c>
      <c r="C82" s="11" t="s">
        <v>384</v>
      </c>
      <c r="D82" s="12" t="s">
        <v>217</v>
      </c>
      <c r="E82" s="12" t="s">
        <v>274</v>
      </c>
      <c r="F82" s="13">
        <v>-240538.35</v>
      </c>
      <c r="G82" s="12" t="s">
        <v>212</v>
      </c>
      <c r="H82" s="12"/>
      <c r="I82" s="12" t="s">
        <v>239</v>
      </c>
      <c r="J82" s="11" t="s">
        <v>306</v>
      </c>
    </row>
    <row r="83" spans="1:10" x14ac:dyDescent="0.2">
      <c r="A83" s="1">
        <v>45974</v>
      </c>
      <c r="B83" s="1">
        <v>45944</v>
      </c>
      <c r="C83" s="2" t="s">
        <v>385</v>
      </c>
      <c r="D83" s="3" t="s">
        <v>217</v>
      </c>
      <c r="E83" s="3" t="s">
        <v>237</v>
      </c>
      <c r="F83" s="4">
        <v>90471.58</v>
      </c>
      <c r="G83" s="3" t="s">
        <v>219</v>
      </c>
      <c r="H83" s="3" t="s">
        <v>386</v>
      </c>
      <c r="I83" s="3" t="s">
        <v>227</v>
      </c>
      <c r="J83" s="2" t="s">
        <v>285</v>
      </c>
    </row>
    <row r="84" spans="1:10" x14ac:dyDescent="0.2">
      <c r="A84" s="10">
        <v>45974</v>
      </c>
      <c r="B84" s="10">
        <v>45944</v>
      </c>
      <c r="C84" s="11" t="s">
        <v>387</v>
      </c>
      <c r="D84" s="12" t="s">
        <v>217</v>
      </c>
      <c r="E84" s="12" t="s">
        <v>218</v>
      </c>
      <c r="F84" s="13">
        <v>341504.07</v>
      </c>
      <c r="G84" s="12" t="s">
        <v>219</v>
      </c>
      <c r="H84" s="12" t="s">
        <v>388</v>
      </c>
      <c r="I84" s="12" t="s">
        <v>227</v>
      </c>
      <c r="J84" s="11" t="s">
        <v>272</v>
      </c>
    </row>
    <row r="85" spans="1:10" x14ac:dyDescent="0.2">
      <c r="A85" s="1">
        <v>45974</v>
      </c>
      <c r="B85" s="1">
        <v>45944</v>
      </c>
      <c r="C85" s="2" t="s">
        <v>358</v>
      </c>
      <c r="D85" s="3" t="s">
        <v>250</v>
      </c>
      <c r="E85" s="3" t="s">
        <v>264</v>
      </c>
      <c r="F85" s="4">
        <v>-196080.5</v>
      </c>
      <c r="G85" s="3" t="s">
        <v>212</v>
      </c>
      <c r="H85" s="3" t="s">
        <v>389</v>
      </c>
      <c r="I85" s="3" t="s">
        <v>239</v>
      </c>
      <c r="J85" s="2" t="s">
        <v>306</v>
      </c>
    </row>
    <row r="86" spans="1:10" x14ac:dyDescent="0.2">
      <c r="A86" s="10">
        <v>45975</v>
      </c>
      <c r="B86" s="10">
        <v>45975</v>
      </c>
      <c r="C86" s="11" t="s">
        <v>390</v>
      </c>
      <c r="D86" s="12" t="s">
        <v>210</v>
      </c>
      <c r="E86" s="12" t="s">
        <v>264</v>
      </c>
      <c r="F86" s="13">
        <v>-145684.88</v>
      </c>
      <c r="G86" s="12" t="s">
        <v>212</v>
      </c>
      <c r="H86" s="12" t="s">
        <v>391</v>
      </c>
      <c r="I86" s="12" t="s">
        <v>239</v>
      </c>
      <c r="J86" s="11" t="s">
        <v>282</v>
      </c>
    </row>
    <row r="87" spans="1:10" x14ac:dyDescent="0.2">
      <c r="A87" s="1">
        <v>45975</v>
      </c>
      <c r="B87" s="1">
        <v>45975</v>
      </c>
      <c r="C87" s="2" t="s">
        <v>392</v>
      </c>
      <c r="D87" s="3" t="s">
        <v>217</v>
      </c>
      <c r="E87" s="3" t="s">
        <v>237</v>
      </c>
      <c r="F87" s="4">
        <v>122504.5</v>
      </c>
      <c r="G87" s="3" t="s">
        <v>219</v>
      </c>
      <c r="H87" s="3" t="s">
        <v>393</v>
      </c>
      <c r="I87" s="3" t="s">
        <v>227</v>
      </c>
      <c r="J87" s="2" t="s">
        <v>278</v>
      </c>
    </row>
    <row r="88" spans="1:10" x14ac:dyDescent="0.2">
      <c r="A88" s="10">
        <v>45975</v>
      </c>
      <c r="B88" s="10">
        <v>45975</v>
      </c>
      <c r="C88" s="11" t="s">
        <v>273</v>
      </c>
      <c r="D88" s="12" t="s">
        <v>224</v>
      </c>
      <c r="E88" s="12" t="s">
        <v>274</v>
      </c>
      <c r="F88" s="13">
        <v>-122199.94</v>
      </c>
      <c r="G88" s="12" t="s">
        <v>212</v>
      </c>
      <c r="H88" s="12" t="s">
        <v>394</v>
      </c>
      <c r="I88" s="12" t="s">
        <v>239</v>
      </c>
      <c r="J88" s="11" t="s">
        <v>262</v>
      </c>
    </row>
    <row r="89" spans="1:10" x14ac:dyDescent="0.2">
      <c r="A89" s="1">
        <v>45976</v>
      </c>
      <c r="B89" s="1">
        <v>45946</v>
      </c>
      <c r="C89" s="2" t="s">
        <v>395</v>
      </c>
      <c r="D89" s="3" t="s">
        <v>250</v>
      </c>
      <c r="E89" s="3" t="s">
        <v>245</v>
      </c>
      <c r="F89" s="4">
        <v>-201011.31</v>
      </c>
      <c r="G89" s="3" t="s">
        <v>212</v>
      </c>
      <c r="H89" s="3" t="s">
        <v>396</v>
      </c>
      <c r="I89" s="3" t="s">
        <v>239</v>
      </c>
      <c r="J89" s="2" t="s">
        <v>253</v>
      </c>
    </row>
    <row r="90" spans="1:10" x14ac:dyDescent="0.2">
      <c r="A90" s="10">
        <v>45976</v>
      </c>
      <c r="B90" s="10">
        <v>45976</v>
      </c>
      <c r="C90" s="11" t="s">
        <v>397</v>
      </c>
      <c r="D90" s="12" t="s">
        <v>299</v>
      </c>
      <c r="E90" s="12" t="s">
        <v>308</v>
      </c>
      <c r="F90" s="13">
        <v>-205112.36</v>
      </c>
      <c r="G90" s="12" t="s">
        <v>212</v>
      </c>
      <c r="H90" s="12"/>
      <c r="I90" s="12" t="s">
        <v>221</v>
      </c>
      <c r="J90" s="11" t="s">
        <v>282</v>
      </c>
    </row>
    <row r="91" spans="1:10" x14ac:dyDescent="0.2">
      <c r="A91" s="1">
        <v>45977</v>
      </c>
      <c r="B91" s="1">
        <v>45977</v>
      </c>
      <c r="C91" s="2" t="s">
        <v>398</v>
      </c>
      <c r="D91" s="3" t="s">
        <v>267</v>
      </c>
      <c r="E91" s="3" t="s">
        <v>274</v>
      </c>
      <c r="F91" s="4">
        <v>-147423.39000000001</v>
      </c>
      <c r="G91" s="3" t="s">
        <v>212</v>
      </c>
      <c r="H91" s="3" t="s">
        <v>399</v>
      </c>
      <c r="I91" s="3" t="s">
        <v>227</v>
      </c>
      <c r="J91" s="2" t="s">
        <v>248</v>
      </c>
    </row>
    <row r="92" spans="1:10" x14ac:dyDescent="0.2">
      <c r="A92" s="10">
        <v>45977</v>
      </c>
      <c r="B92" s="10">
        <v>45977</v>
      </c>
      <c r="C92" s="11" t="s">
        <v>400</v>
      </c>
      <c r="D92" s="12" t="s">
        <v>210</v>
      </c>
      <c r="E92" s="12" t="s">
        <v>211</v>
      </c>
      <c r="F92" s="13">
        <v>-84922.6</v>
      </c>
      <c r="G92" s="12" t="s">
        <v>212</v>
      </c>
      <c r="H92" s="12" t="s">
        <v>401</v>
      </c>
      <c r="I92" s="12" t="s">
        <v>239</v>
      </c>
      <c r="J92" s="11" t="s">
        <v>329</v>
      </c>
    </row>
    <row r="93" spans="1:10" x14ac:dyDescent="0.2">
      <c r="A93" s="1">
        <v>45977</v>
      </c>
      <c r="B93" s="1">
        <v>45947</v>
      </c>
      <c r="C93" s="2" t="s">
        <v>342</v>
      </c>
      <c r="D93" s="3" t="s">
        <v>299</v>
      </c>
      <c r="E93" s="3" t="s">
        <v>230</v>
      </c>
      <c r="F93" s="4">
        <v>86673.98</v>
      </c>
      <c r="G93" s="3" t="s">
        <v>219</v>
      </c>
      <c r="H93" s="3" t="s">
        <v>402</v>
      </c>
      <c r="I93" s="3" t="s">
        <v>239</v>
      </c>
      <c r="J93" s="2" t="s">
        <v>278</v>
      </c>
    </row>
    <row r="94" spans="1:10" x14ac:dyDescent="0.2">
      <c r="A94" s="10">
        <v>45977</v>
      </c>
      <c r="B94" s="10">
        <v>45917</v>
      </c>
      <c r="C94" s="11" t="s">
        <v>403</v>
      </c>
      <c r="D94" s="12" t="s">
        <v>280</v>
      </c>
      <c r="E94" s="12" t="s">
        <v>211</v>
      </c>
      <c r="F94" s="13">
        <v>-142785.26999999999</v>
      </c>
      <c r="G94" s="12" t="s">
        <v>212</v>
      </c>
      <c r="H94" s="12"/>
      <c r="I94" s="12" t="s">
        <v>239</v>
      </c>
      <c r="J94" s="11" t="s">
        <v>306</v>
      </c>
    </row>
    <row r="95" spans="1:10" x14ac:dyDescent="0.2">
      <c r="A95" s="1">
        <v>45977</v>
      </c>
      <c r="B95" s="1">
        <v>45977</v>
      </c>
      <c r="C95" s="2" t="s">
        <v>404</v>
      </c>
      <c r="D95" s="3" t="s">
        <v>210</v>
      </c>
      <c r="E95" s="3" t="s">
        <v>225</v>
      </c>
      <c r="F95" s="4">
        <v>-137138.49</v>
      </c>
      <c r="G95" s="3" t="s">
        <v>212</v>
      </c>
      <c r="H95" s="3" t="s">
        <v>405</v>
      </c>
      <c r="I95" s="3" t="s">
        <v>239</v>
      </c>
      <c r="J95" s="2" t="s">
        <v>248</v>
      </c>
    </row>
    <row r="96" spans="1:10" x14ac:dyDescent="0.2">
      <c r="A96" s="10">
        <v>45977</v>
      </c>
      <c r="B96" s="10">
        <v>45947</v>
      </c>
      <c r="C96" s="11" t="s">
        <v>321</v>
      </c>
      <c r="D96" s="12" t="s">
        <v>210</v>
      </c>
      <c r="E96" s="12" t="s">
        <v>264</v>
      </c>
      <c r="F96" s="13">
        <v>-245338.95</v>
      </c>
      <c r="G96" s="12" t="s">
        <v>212</v>
      </c>
      <c r="H96" s="12" t="s">
        <v>406</v>
      </c>
      <c r="I96" s="12" t="s">
        <v>221</v>
      </c>
      <c r="J96" s="11" t="s">
        <v>311</v>
      </c>
    </row>
    <row r="97" spans="1:10" x14ac:dyDescent="0.2">
      <c r="A97" s="1">
        <v>45977</v>
      </c>
      <c r="B97" s="1">
        <v>45947</v>
      </c>
      <c r="C97" s="2" t="s">
        <v>407</v>
      </c>
      <c r="D97" s="3" t="s">
        <v>250</v>
      </c>
      <c r="E97" s="3" t="s">
        <v>255</v>
      </c>
      <c r="F97" s="4">
        <v>-228643.11</v>
      </c>
      <c r="G97" s="3" t="s">
        <v>212</v>
      </c>
      <c r="H97" s="3"/>
      <c r="I97" s="3" t="s">
        <v>239</v>
      </c>
      <c r="J97" s="2" t="s">
        <v>357</v>
      </c>
    </row>
    <row r="98" spans="1:10" x14ac:dyDescent="0.2">
      <c r="A98" s="10">
        <v>45978</v>
      </c>
      <c r="B98" s="10">
        <v>45978</v>
      </c>
      <c r="C98" s="11" t="s">
        <v>408</v>
      </c>
      <c r="D98" s="12" t="s">
        <v>217</v>
      </c>
      <c r="E98" s="12" t="s">
        <v>251</v>
      </c>
      <c r="F98" s="13">
        <v>-132600.24</v>
      </c>
      <c r="G98" s="12" t="s">
        <v>212</v>
      </c>
      <c r="H98" s="12" t="s">
        <v>409</v>
      </c>
      <c r="I98" s="12" t="s">
        <v>239</v>
      </c>
      <c r="J98" s="11" t="s">
        <v>248</v>
      </c>
    </row>
    <row r="99" spans="1:10" x14ac:dyDescent="0.2">
      <c r="A99" s="1">
        <v>45978</v>
      </c>
      <c r="B99" s="1">
        <v>45978</v>
      </c>
      <c r="C99" s="2" t="s">
        <v>410</v>
      </c>
      <c r="D99" s="3" t="s">
        <v>280</v>
      </c>
      <c r="E99" s="3" t="s">
        <v>230</v>
      </c>
      <c r="F99" s="4">
        <v>28602</v>
      </c>
      <c r="G99" s="3" t="s">
        <v>219</v>
      </c>
      <c r="H99" s="3" t="s">
        <v>284</v>
      </c>
      <c r="I99" s="3" t="s">
        <v>239</v>
      </c>
      <c r="J99" s="2" t="s">
        <v>285</v>
      </c>
    </row>
    <row r="100" spans="1:10" x14ac:dyDescent="0.2">
      <c r="A100" s="10">
        <v>45979</v>
      </c>
      <c r="B100" s="10">
        <v>45949</v>
      </c>
      <c r="C100" s="11" t="s">
        <v>411</v>
      </c>
      <c r="D100" s="12" t="s">
        <v>210</v>
      </c>
      <c r="E100" s="12" t="s">
        <v>274</v>
      </c>
      <c r="F100" s="13">
        <v>-151363.53</v>
      </c>
      <c r="G100" s="12" t="s">
        <v>212</v>
      </c>
      <c r="H100" s="12" t="s">
        <v>412</v>
      </c>
      <c r="I100" s="12" t="s">
        <v>227</v>
      </c>
      <c r="J100" s="11" t="s">
        <v>298</v>
      </c>
    </row>
    <row r="101" spans="1:10" x14ac:dyDescent="0.2">
      <c r="A101" s="1">
        <v>45979</v>
      </c>
      <c r="B101" s="1">
        <v>45979</v>
      </c>
      <c r="C101" s="2" t="s">
        <v>413</v>
      </c>
      <c r="D101" s="3" t="s">
        <v>217</v>
      </c>
      <c r="E101" s="3" t="s">
        <v>295</v>
      </c>
      <c r="F101" s="4">
        <v>-163556.76</v>
      </c>
      <c r="G101" s="3" t="s">
        <v>212</v>
      </c>
      <c r="H101" s="3" t="s">
        <v>414</v>
      </c>
      <c r="I101" s="3" t="s">
        <v>221</v>
      </c>
      <c r="J101" s="2" t="s">
        <v>282</v>
      </c>
    </row>
    <row r="102" spans="1:10" x14ac:dyDescent="0.2">
      <c r="A102" s="10">
        <v>45979</v>
      </c>
      <c r="B102" s="10">
        <v>45979</v>
      </c>
      <c r="C102" s="11" t="s">
        <v>415</v>
      </c>
      <c r="D102" s="12" t="s">
        <v>224</v>
      </c>
      <c r="E102" s="12" t="s">
        <v>242</v>
      </c>
      <c r="F102" s="13">
        <v>-100500.87</v>
      </c>
      <c r="G102" s="12" t="s">
        <v>212</v>
      </c>
      <c r="H102" s="12" t="s">
        <v>416</v>
      </c>
      <c r="I102" s="12" t="s">
        <v>227</v>
      </c>
      <c r="J102" s="11" t="s">
        <v>215</v>
      </c>
    </row>
    <row r="103" spans="1:10" x14ac:dyDescent="0.2">
      <c r="A103" s="1">
        <v>45979</v>
      </c>
      <c r="B103" s="1">
        <v>45919</v>
      </c>
      <c r="C103" s="2" t="s">
        <v>417</v>
      </c>
      <c r="D103" s="3" t="s">
        <v>217</v>
      </c>
      <c r="E103" s="3" t="s">
        <v>264</v>
      </c>
      <c r="F103" s="4">
        <v>-132688.72</v>
      </c>
      <c r="G103" s="3" t="s">
        <v>212</v>
      </c>
      <c r="H103" s="3" t="s">
        <v>418</v>
      </c>
      <c r="I103" s="3" t="s">
        <v>221</v>
      </c>
      <c r="J103" s="2" t="s">
        <v>257</v>
      </c>
    </row>
    <row r="104" spans="1:10" x14ac:dyDescent="0.2">
      <c r="A104" s="10">
        <v>45980</v>
      </c>
      <c r="B104" s="10">
        <v>45980</v>
      </c>
      <c r="C104" s="11" t="s">
        <v>348</v>
      </c>
      <c r="D104" s="12" t="s">
        <v>217</v>
      </c>
      <c r="E104" s="12" t="s">
        <v>237</v>
      </c>
      <c r="F104" s="13">
        <v>255071.13</v>
      </c>
      <c r="G104" s="12" t="s">
        <v>219</v>
      </c>
      <c r="H104" s="12" t="s">
        <v>419</v>
      </c>
      <c r="I104" s="12" t="s">
        <v>221</v>
      </c>
      <c r="J104" s="11" t="s">
        <v>350</v>
      </c>
    </row>
    <row r="105" spans="1:10" x14ac:dyDescent="0.2">
      <c r="A105" s="1">
        <v>45980</v>
      </c>
      <c r="B105" s="1">
        <v>45980</v>
      </c>
      <c r="C105" s="2" t="s">
        <v>420</v>
      </c>
      <c r="D105" s="3" t="s">
        <v>217</v>
      </c>
      <c r="E105" s="3" t="s">
        <v>251</v>
      </c>
      <c r="F105" s="4">
        <v>-69603.429999999993</v>
      </c>
      <c r="G105" s="3" t="s">
        <v>212</v>
      </c>
      <c r="H105" s="3"/>
      <c r="I105" s="3" t="s">
        <v>227</v>
      </c>
      <c r="J105" s="2" t="s">
        <v>228</v>
      </c>
    </row>
    <row r="106" spans="1:10" x14ac:dyDescent="0.2">
      <c r="A106" s="10">
        <v>45980</v>
      </c>
      <c r="B106" s="10">
        <v>45980</v>
      </c>
      <c r="C106" s="11" t="s">
        <v>421</v>
      </c>
      <c r="D106" s="12" t="s">
        <v>217</v>
      </c>
      <c r="E106" s="12" t="s">
        <v>230</v>
      </c>
      <c r="F106" s="13">
        <v>15109.69</v>
      </c>
      <c r="G106" s="12" t="s">
        <v>219</v>
      </c>
      <c r="H106" s="12" t="s">
        <v>422</v>
      </c>
      <c r="I106" s="12" t="s">
        <v>239</v>
      </c>
      <c r="J106" s="11" t="s">
        <v>272</v>
      </c>
    </row>
    <row r="107" spans="1:10" x14ac:dyDescent="0.2">
      <c r="A107" s="1">
        <v>45981</v>
      </c>
      <c r="B107" s="1">
        <v>45921</v>
      </c>
      <c r="C107" s="2" t="s">
        <v>334</v>
      </c>
      <c r="D107" s="3" t="s">
        <v>280</v>
      </c>
      <c r="E107" s="3" t="s">
        <v>308</v>
      </c>
      <c r="F107" s="4">
        <v>-2812.16</v>
      </c>
      <c r="G107" s="3" t="s">
        <v>212</v>
      </c>
      <c r="H107" s="3" t="s">
        <v>423</v>
      </c>
      <c r="I107" s="3" t="s">
        <v>221</v>
      </c>
      <c r="J107" s="2" t="s">
        <v>253</v>
      </c>
    </row>
    <row r="108" spans="1:10" x14ac:dyDescent="0.2">
      <c r="A108" s="68">
        <v>45981</v>
      </c>
      <c r="B108" s="68">
        <v>45981</v>
      </c>
      <c r="C108" s="69" t="s">
        <v>260</v>
      </c>
      <c r="D108" s="70" t="s">
        <v>267</v>
      </c>
      <c r="E108" s="70" t="s">
        <v>225</v>
      </c>
      <c r="F108" s="71">
        <v>-95810.67</v>
      </c>
      <c r="G108" s="70" t="s">
        <v>212</v>
      </c>
      <c r="H108" s="70" t="s">
        <v>424</v>
      </c>
      <c r="I108" s="70" t="s">
        <v>214</v>
      </c>
      <c r="J108" s="69" t="s">
        <v>262</v>
      </c>
    </row>
    <row r="109" spans="1:10" x14ac:dyDescent="0.2">
      <c r="A109" s="1">
        <v>45982</v>
      </c>
      <c r="B109" s="1">
        <v>45982</v>
      </c>
      <c r="C109" s="2" t="s">
        <v>392</v>
      </c>
      <c r="D109" s="3" t="s">
        <v>217</v>
      </c>
      <c r="E109" s="3" t="s">
        <v>237</v>
      </c>
      <c r="F109" s="4">
        <v>53346.77</v>
      </c>
      <c r="G109" s="3" t="s">
        <v>219</v>
      </c>
      <c r="H109" s="3" t="s">
        <v>425</v>
      </c>
      <c r="I109" s="3" t="s">
        <v>221</v>
      </c>
      <c r="J109" s="2" t="s">
        <v>278</v>
      </c>
    </row>
    <row r="110" spans="1:10" x14ac:dyDescent="0.2">
      <c r="A110" s="10">
        <v>45982</v>
      </c>
      <c r="B110" s="10">
        <v>45982</v>
      </c>
      <c r="C110" s="11" t="s">
        <v>407</v>
      </c>
      <c r="D110" s="12" t="s">
        <v>217</v>
      </c>
      <c r="E110" s="12" t="s">
        <v>255</v>
      </c>
      <c r="F110" s="13">
        <v>-69728.2</v>
      </c>
      <c r="G110" s="12" t="s">
        <v>212</v>
      </c>
      <c r="H110" s="12" t="s">
        <v>426</v>
      </c>
      <c r="I110" s="12" t="s">
        <v>221</v>
      </c>
      <c r="J110" s="11" t="s">
        <v>357</v>
      </c>
    </row>
    <row r="111" spans="1:10" x14ac:dyDescent="0.2">
      <c r="A111" s="1">
        <v>45983</v>
      </c>
      <c r="B111" s="1">
        <v>45953</v>
      </c>
      <c r="C111" s="2" t="s">
        <v>310</v>
      </c>
      <c r="D111" s="3" t="s">
        <v>250</v>
      </c>
      <c r="E111" s="3" t="s">
        <v>242</v>
      </c>
      <c r="F111" s="4">
        <v>-50766.91</v>
      </c>
      <c r="G111" s="3" t="s">
        <v>212</v>
      </c>
      <c r="H111" s="3" t="s">
        <v>427</v>
      </c>
      <c r="I111" s="3" t="s">
        <v>239</v>
      </c>
      <c r="J111" s="2" t="s">
        <v>311</v>
      </c>
    </row>
    <row r="112" spans="1:10" x14ac:dyDescent="0.2">
      <c r="A112" s="10">
        <v>45983</v>
      </c>
      <c r="B112" s="10">
        <v>45983</v>
      </c>
      <c r="C112" s="11" t="s">
        <v>367</v>
      </c>
      <c r="D112" s="12" t="s">
        <v>280</v>
      </c>
      <c r="E112" s="12" t="s">
        <v>251</v>
      </c>
      <c r="F112" s="13">
        <v>-65563.14</v>
      </c>
      <c r="G112" s="12" t="s">
        <v>212</v>
      </c>
      <c r="H112" s="12" t="s">
        <v>428</v>
      </c>
      <c r="I112" s="12" t="s">
        <v>227</v>
      </c>
      <c r="J112" s="11" t="s">
        <v>243</v>
      </c>
    </row>
    <row r="113" spans="1:10" x14ac:dyDescent="0.2">
      <c r="A113" s="1">
        <v>45984</v>
      </c>
      <c r="B113" s="1">
        <v>45954</v>
      </c>
      <c r="C113" s="2" t="s">
        <v>395</v>
      </c>
      <c r="D113" s="3" t="s">
        <v>280</v>
      </c>
      <c r="E113" s="3" t="s">
        <v>245</v>
      </c>
      <c r="F113" s="4">
        <v>-149428.95000000001</v>
      </c>
      <c r="G113" s="3" t="s">
        <v>212</v>
      </c>
      <c r="H113" s="3" t="s">
        <v>429</v>
      </c>
      <c r="I113" s="3" t="s">
        <v>227</v>
      </c>
      <c r="J113" s="2" t="s">
        <v>253</v>
      </c>
    </row>
    <row r="114" spans="1:10" x14ac:dyDescent="0.2">
      <c r="A114" s="10">
        <v>45984</v>
      </c>
      <c r="B114" s="10">
        <v>45984</v>
      </c>
      <c r="C114" s="11" t="s">
        <v>430</v>
      </c>
      <c r="D114" s="12" t="s">
        <v>224</v>
      </c>
      <c r="E114" s="12" t="s">
        <v>211</v>
      </c>
      <c r="F114" s="13">
        <v>-193855.59</v>
      </c>
      <c r="G114" s="12" t="s">
        <v>212</v>
      </c>
      <c r="H114" s="12" t="s">
        <v>431</v>
      </c>
      <c r="I114" s="12" t="s">
        <v>227</v>
      </c>
      <c r="J114" s="11" t="s">
        <v>243</v>
      </c>
    </row>
    <row r="115" spans="1:10" x14ac:dyDescent="0.2">
      <c r="A115" s="1">
        <v>45985</v>
      </c>
      <c r="B115" s="1">
        <v>45985</v>
      </c>
      <c r="C115" s="2" t="s">
        <v>312</v>
      </c>
      <c r="D115" s="3" t="s">
        <v>224</v>
      </c>
      <c r="E115" s="3" t="s">
        <v>225</v>
      </c>
      <c r="F115" s="4">
        <v>-73794.720000000001</v>
      </c>
      <c r="G115" s="3" t="s">
        <v>212</v>
      </c>
      <c r="H115" s="3"/>
      <c r="I115" s="3" t="s">
        <v>239</v>
      </c>
      <c r="J115" s="2" t="s">
        <v>314</v>
      </c>
    </row>
    <row r="116" spans="1:10" x14ac:dyDescent="0.2">
      <c r="A116" s="10">
        <v>45985</v>
      </c>
      <c r="B116" s="10">
        <v>45955</v>
      </c>
      <c r="C116" s="11" t="s">
        <v>432</v>
      </c>
      <c r="D116" s="12" t="s">
        <v>280</v>
      </c>
      <c r="E116" s="12" t="s">
        <v>245</v>
      </c>
      <c r="F116" s="13">
        <v>-46602.91</v>
      </c>
      <c r="G116" s="12" t="s">
        <v>212</v>
      </c>
      <c r="H116" s="12"/>
      <c r="I116" s="12" t="s">
        <v>239</v>
      </c>
      <c r="J116" s="11" t="s">
        <v>329</v>
      </c>
    </row>
    <row r="117" spans="1:10" x14ac:dyDescent="0.2">
      <c r="A117" s="1">
        <v>45985</v>
      </c>
      <c r="B117" s="1">
        <v>45925</v>
      </c>
      <c r="C117" s="2" t="s">
        <v>353</v>
      </c>
      <c r="D117" s="3" t="s">
        <v>217</v>
      </c>
      <c r="E117" s="3" t="s">
        <v>218</v>
      </c>
      <c r="F117" s="4">
        <v>290778.55</v>
      </c>
      <c r="G117" s="3" t="s">
        <v>219</v>
      </c>
      <c r="H117" s="3" t="s">
        <v>433</v>
      </c>
      <c r="I117" s="3" t="s">
        <v>239</v>
      </c>
      <c r="J117" s="2" t="s">
        <v>303</v>
      </c>
    </row>
    <row r="118" spans="1:10" x14ac:dyDescent="0.2">
      <c r="A118" s="10">
        <v>45985</v>
      </c>
      <c r="B118" s="10">
        <v>45985</v>
      </c>
      <c r="C118" s="11" t="s">
        <v>351</v>
      </c>
      <c r="D118" s="12" t="s">
        <v>299</v>
      </c>
      <c r="E118" s="12" t="s">
        <v>245</v>
      </c>
      <c r="F118" s="13">
        <v>-40164.879999999997</v>
      </c>
      <c r="G118" s="12" t="s">
        <v>212</v>
      </c>
      <c r="H118" s="12" t="s">
        <v>434</v>
      </c>
      <c r="I118" s="12" t="s">
        <v>239</v>
      </c>
      <c r="J118" s="11" t="s">
        <v>298</v>
      </c>
    </row>
    <row r="119" spans="1:10" x14ac:dyDescent="0.2">
      <c r="A119" s="1">
        <v>45986</v>
      </c>
      <c r="B119" s="1">
        <v>45986</v>
      </c>
      <c r="C119" s="2" t="s">
        <v>241</v>
      </c>
      <c r="D119" s="3" t="s">
        <v>299</v>
      </c>
      <c r="E119" s="3" t="s">
        <v>242</v>
      </c>
      <c r="F119" s="4">
        <v>-232652.75</v>
      </c>
      <c r="G119" s="3" t="s">
        <v>212</v>
      </c>
      <c r="H119" s="3" t="s">
        <v>435</v>
      </c>
      <c r="I119" s="3" t="s">
        <v>227</v>
      </c>
      <c r="J119" s="2" t="s">
        <v>243</v>
      </c>
    </row>
    <row r="120" spans="1:10" x14ac:dyDescent="0.2">
      <c r="A120" s="10">
        <v>45986</v>
      </c>
      <c r="B120" s="10">
        <v>45986</v>
      </c>
      <c r="C120" s="11" t="s">
        <v>326</v>
      </c>
      <c r="D120" s="12" t="s">
        <v>217</v>
      </c>
      <c r="E120" s="12" t="s">
        <v>327</v>
      </c>
      <c r="F120" s="13">
        <v>-124302.71</v>
      </c>
      <c r="G120" s="12" t="s">
        <v>212</v>
      </c>
      <c r="H120" s="12" t="s">
        <v>436</v>
      </c>
      <c r="I120" s="12" t="s">
        <v>239</v>
      </c>
      <c r="J120" s="11" t="s">
        <v>329</v>
      </c>
    </row>
    <row r="121" spans="1:10" x14ac:dyDescent="0.2">
      <c r="A121" s="1">
        <v>45986</v>
      </c>
      <c r="B121" s="1">
        <v>45926</v>
      </c>
      <c r="C121" s="2" t="s">
        <v>437</v>
      </c>
      <c r="D121" s="3" t="s">
        <v>299</v>
      </c>
      <c r="E121" s="3" t="s">
        <v>245</v>
      </c>
      <c r="F121" s="4">
        <v>-43963.57</v>
      </c>
      <c r="G121" s="3" t="s">
        <v>212</v>
      </c>
      <c r="H121" s="3" t="s">
        <v>438</v>
      </c>
      <c r="I121" s="3" t="s">
        <v>239</v>
      </c>
      <c r="J121" s="2" t="s">
        <v>311</v>
      </c>
    </row>
    <row r="122" spans="1:10" x14ac:dyDescent="0.2">
      <c r="A122" s="10">
        <v>45987</v>
      </c>
      <c r="B122" s="10">
        <v>45987</v>
      </c>
      <c r="C122" s="11" t="s">
        <v>276</v>
      </c>
      <c r="D122" s="12" t="s">
        <v>217</v>
      </c>
      <c r="E122" s="12" t="s">
        <v>218</v>
      </c>
      <c r="F122" s="13">
        <v>129941.95</v>
      </c>
      <c r="G122" s="12" t="s">
        <v>219</v>
      </c>
      <c r="H122" s="12" t="s">
        <v>336</v>
      </c>
      <c r="I122" s="12" t="s">
        <v>227</v>
      </c>
      <c r="J122" s="11" t="s">
        <v>278</v>
      </c>
    </row>
    <row r="123" spans="1:10" x14ac:dyDescent="0.2">
      <c r="A123" s="1">
        <v>45987</v>
      </c>
      <c r="B123" s="1">
        <v>45987</v>
      </c>
      <c r="C123" s="2" t="s">
        <v>439</v>
      </c>
      <c r="D123" s="3" t="s">
        <v>267</v>
      </c>
      <c r="E123" s="3" t="s">
        <v>255</v>
      </c>
      <c r="F123" s="4">
        <v>-23189.94</v>
      </c>
      <c r="G123" s="3" t="s">
        <v>212</v>
      </c>
      <c r="H123" s="3" t="s">
        <v>440</v>
      </c>
      <c r="I123" s="3" t="s">
        <v>239</v>
      </c>
      <c r="J123" s="2" t="s">
        <v>253</v>
      </c>
    </row>
    <row r="124" spans="1:10" x14ac:dyDescent="0.2">
      <c r="A124" s="10">
        <v>45987</v>
      </c>
      <c r="B124" s="10">
        <v>45957</v>
      </c>
      <c r="C124" s="11" t="s">
        <v>348</v>
      </c>
      <c r="D124" s="12" t="s">
        <v>217</v>
      </c>
      <c r="E124" s="12" t="s">
        <v>237</v>
      </c>
      <c r="F124" s="13">
        <v>258916.1</v>
      </c>
      <c r="G124" s="12" t="s">
        <v>219</v>
      </c>
      <c r="H124" s="12" t="s">
        <v>271</v>
      </c>
      <c r="I124" s="12" t="s">
        <v>239</v>
      </c>
      <c r="J124" s="11" t="s">
        <v>350</v>
      </c>
    </row>
    <row r="125" spans="1:10" x14ac:dyDescent="0.2">
      <c r="A125" s="1">
        <v>45988</v>
      </c>
      <c r="B125" s="1">
        <v>45958</v>
      </c>
      <c r="C125" s="2" t="s">
        <v>441</v>
      </c>
      <c r="D125" s="3" t="s">
        <v>280</v>
      </c>
      <c r="E125" s="3" t="s">
        <v>264</v>
      </c>
      <c r="F125" s="4">
        <v>-22859.9</v>
      </c>
      <c r="G125" s="3" t="s">
        <v>212</v>
      </c>
      <c r="H125" s="3" t="s">
        <v>442</v>
      </c>
      <c r="I125" s="3" t="s">
        <v>227</v>
      </c>
      <c r="J125" s="2" t="s">
        <v>329</v>
      </c>
    </row>
    <row r="126" spans="1:10" x14ac:dyDescent="0.2">
      <c r="A126" s="10">
        <v>45988</v>
      </c>
      <c r="B126" s="10">
        <v>45988</v>
      </c>
      <c r="C126" s="11" t="s">
        <v>443</v>
      </c>
      <c r="D126" s="12" t="s">
        <v>267</v>
      </c>
      <c r="E126" s="12" t="s">
        <v>264</v>
      </c>
      <c r="F126" s="13">
        <v>-216389.97</v>
      </c>
      <c r="G126" s="12" t="s">
        <v>212</v>
      </c>
      <c r="H126" s="12"/>
      <c r="I126" s="12" t="s">
        <v>239</v>
      </c>
      <c r="J126" s="11" t="s">
        <v>314</v>
      </c>
    </row>
    <row r="127" spans="1:10" x14ac:dyDescent="0.2">
      <c r="A127" s="1">
        <v>45989</v>
      </c>
      <c r="B127" s="1">
        <v>45989</v>
      </c>
      <c r="C127" s="2" t="s">
        <v>317</v>
      </c>
      <c r="D127" s="3" t="s">
        <v>217</v>
      </c>
      <c r="E127" s="3" t="s">
        <v>230</v>
      </c>
      <c r="F127" s="4">
        <v>310597.68</v>
      </c>
      <c r="G127" s="3" t="s">
        <v>219</v>
      </c>
      <c r="H127" s="3" t="s">
        <v>444</v>
      </c>
      <c r="I127" s="3" t="s">
        <v>227</v>
      </c>
      <c r="J127" s="2" t="s">
        <v>235</v>
      </c>
    </row>
    <row r="128" spans="1:10" x14ac:dyDescent="0.2">
      <c r="A128" s="10">
        <v>45989</v>
      </c>
      <c r="B128" s="10">
        <v>45959</v>
      </c>
      <c r="C128" s="11" t="s">
        <v>445</v>
      </c>
      <c r="D128" s="12" t="s">
        <v>210</v>
      </c>
      <c r="E128" s="12" t="s">
        <v>251</v>
      </c>
      <c r="F128" s="13">
        <v>-126301.06</v>
      </c>
      <c r="G128" s="12" t="s">
        <v>212</v>
      </c>
      <c r="H128" s="12" t="s">
        <v>446</v>
      </c>
      <c r="I128" s="12" t="s">
        <v>239</v>
      </c>
      <c r="J128" s="11" t="s">
        <v>311</v>
      </c>
    </row>
    <row r="129" spans="1:10" x14ac:dyDescent="0.2">
      <c r="A129" s="1">
        <v>45989</v>
      </c>
      <c r="B129" s="1">
        <v>45959</v>
      </c>
      <c r="C129" s="2" t="s">
        <v>318</v>
      </c>
      <c r="D129" s="3" t="s">
        <v>217</v>
      </c>
      <c r="E129" s="3" t="s">
        <v>218</v>
      </c>
      <c r="F129" s="4">
        <v>254531.63</v>
      </c>
      <c r="G129" s="3" t="s">
        <v>219</v>
      </c>
      <c r="H129" s="3" t="s">
        <v>231</v>
      </c>
      <c r="I129" s="3" t="s">
        <v>239</v>
      </c>
      <c r="J129" s="2" t="s">
        <v>320</v>
      </c>
    </row>
    <row r="130" spans="1:10" x14ac:dyDescent="0.2">
      <c r="A130" s="68">
        <v>45989</v>
      </c>
      <c r="B130" s="68">
        <v>45989</v>
      </c>
      <c r="C130" s="69" t="s">
        <v>392</v>
      </c>
      <c r="D130" s="70" t="s">
        <v>217</v>
      </c>
      <c r="E130" s="70" t="s">
        <v>237</v>
      </c>
      <c r="F130" s="71">
        <v>16114.97</v>
      </c>
      <c r="G130" s="70" t="s">
        <v>219</v>
      </c>
      <c r="H130" s="70" t="s">
        <v>447</v>
      </c>
      <c r="I130" s="70" t="s">
        <v>214</v>
      </c>
      <c r="J130" s="69" t="s">
        <v>278</v>
      </c>
    </row>
    <row r="131" spans="1:10" x14ac:dyDescent="0.2">
      <c r="A131" s="1">
        <v>45989</v>
      </c>
      <c r="B131" s="1">
        <v>45959</v>
      </c>
      <c r="C131" s="2" t="s">
        <v>276</v>
      </c>
      <c r="D131" s="3" t="s">
        <v>280</v>
      </c>
      <c r="E131" s="3" t="s">
        <v>218</v>
      </c>
      <c r="F131" s="4">
        <v>240994.36</v>
      </c>
      <c r="G131" s="3" t="s">
        <v>219</v>
      </c>
      <c r="H131" s="3" t="s">
        <v>302</v>
      </c>
      <c r="I131" s="3" t="s">
        <v>239</v>
      </c>
      <c r="J131" s="2" t="s">
        <v>278</v>
      </c>
    </row>
    <row r="132" spans="1:10" x14ac:dyDescent="0.2">
      <c r="A132" s="10">
        <v>45989</v>
      </c>
      <c r="B132" s="10">
        <v>45959</v>
      </c>
      <c r="C132" s="11" t="s">
        <v>301</v>
      </c>
      <c r="D132" s="12" t="s">
        <v>217</v>
      </c>
      <c r="E132" s="12" t="s">
        <v>237</v>
      </c>
      <c r="F132" s="13">
        <v>236877.98</v>
      </c>
      <c r="G132" s="12" t="s">
        <v>219</v>
      </c>
      <c r="H132" s="12" t="s">
        <v>444</v>
      </c>
      <c r="I132" s="12" t="s">
        <v>239</v>
      </c>
      <c r="J132" s="11" t="s">
        <v>303</v>
      </c>
    </row>
    <row r="133" spans="1:10" x14ac:dyDescent="0.2">
      <c r="A133" s="1">
        <v>45991</v>
      </c>
      <c r="B133" s="1">
        <v>45961</v>
      </c>
      <c r="C133" s="2" t="s">
        <v>294</v>
      </c>
      <c r="D133" s="3" t="s">
        <v>217</v>
      </c>
      <c r="E133" s="3" t="s">
        <v>295</v>
      </c>
      <c r="F133" s="4">
        <v>-82327.48</v>
      </c>
      <c r="G133" s="3" t="s">
        <v>212</v>
      </c>
      <c r="H133" s="3" t="s">
        <v>448</v>
      </c>
      <c r="I133" s="3" t="s">
        <v>239</v>
      </c>
      <c r="J133" s="2" t="s">
        <v>215</v>
      </c>
    </row>
    <row r="134" spans="1:10" x14ac:dyDescent="0.2">
      <c r="A134" s="10">
        <v>45991</v>
      </c>
      <c r="B134" s="10">
        <v>45931</v>
      </c>
      <c r="C134" s="11" t="s">
        <v>449</v>
      </c>
      <c r="D134" s="12" t="s">
        <v>210</v>
      </c>
      <c r="E134" s="12" t="s">
        <v>274</v>
      </c>
      <c r="F134" s="13">
        <v>-62242.62</v>
      </c>
      <c r="G134" s="12" t="s">
        <v>212</v>
      </c>
      <c r="H134" s="12" t="s">
        <v>450</v>
      </c>
      <c r="I134" s="12" t="s">
        <v>227</v>
      </c>
      <c r="J134" s="11" t="s">
        <v>282</v>
      </c>
    </row>
    <row r="135" spans="1:10" x14ac:dyDescent="0.2">
      <c r="A135" s="1">
        <v>45993</v>
      </c>
      <c r="B135" s="1">
        <v>45993</v>
      </c>
      <c r="C135" s="2" t="s">
        <v>410</v>
      </c>
      <c r="D135" s="3" t="s">
        <v>217</v>
      </c>
      <c r="E135" s="3" t="s">
        <v>230</v>
      </c>
      <c r="F135" s="4">
        <v>31621.95</v>
      </c>
      <c r="G135" s="3" t="s">
        <v>219</v>
      </c>
      <c r="H135" s="3" t="s">
        <v>302</v>
      </c>
      <c r="I135" s="3" t="s">
        <v>227</v>
      </c>
      <c r="J135" s="2" t="s">
        <v>285</v>
      </c>
    </row>
    <row r="136" spans="1:10" x14ac:dyDescent="0.2">
      <c r="A136" s="10">
        <v>45993</v>
      </c>
      <c r="B136" s="10">
        <v>45993</v>
      </c>
      <c r="C136" s="11" t="s">
        <v>451</v>
      </c>
      <c r="D136" s="12" t="s">
        <v>217</v>
      </c>
      <c r="E136" s="12" t="s">
        <v>233</v>
      </c>
      <c r="F136" s="13">
        <v>64566.45</v>
      </c>
      <c r="G136" s="12" t="s">
        <v>219</v>
      </c>
      <c r="H136" s="12" t="s">
        <v>452</v>
      </c>
      <c r="I136" s="12" t="s">
        <v>239</v>
      </c>
      <c r="J136" s="11" t="s">
        <v>240</v>
      </c>
    </row>
    <row r="137" spans="1:10" x14ac:dyDescent="0.2">
      <c r="A137" s="1">
        <v>45993</v>
      </c>
      <c r="B137" s="1">
        <v>45963</v>
      </c>
      <c r="C137" s="2" t="s">
        <v>292</v>
      </c>
      <c r="D137" s="3" t="s">
        <v>299</v>
      </c>
      <c r="E137" s="3" t="s">
        <v>211</v>
      </c>
      <c r="F137" s="4">
        <v>-204215.38</v>
      </c>
      <c r="G137" s="3" t="s">
        <v>212</v>
      </c>
      <c r="H137" s="3" t="s">
        <v>453</v>
      </c>
      <c r="I137" s="3" t="s">
        <v>221</v>
      </c>
      <c r="J137" s="2" t="s">
        <v>228</v>
      </c>
    </row>
    <row r="138" spans="1:10" x14ac:dyDescent="0.2">
      <c r="A138" s="68">
        <v>45993</v>
      </c>
      <c r="B138" s="68">
        <v>45993</v>
      </c>
      <c r="C138" s="69" t="s">
        <v>376</v>
      </c>
      <c r="D138" s="70" t="s">
        <v>217</v>
      </c>
      <c r="E138" s="70" t="s">
        <v>233</v>
      </c>
      <c r="F138" s="71">
        <v>146151.35</v>
      </c>
      <c r="G138" s="70" t="s">
        <v>219</v>
      </c>
      <c r="H138" s="70" t="s">
        <v>402</v>
      </c>
      <c r="I138" s="70" t="s">
        <v>214</v>
      </c>
      <c r="J138" s="69" t="s">
        <v>350</v>
      </c>
    </row>
    <row r="139" spans="1:10" x14ac:dyDescent="0.2">
      <c r="A139" s="1">
        <v>45994</v>
      </c>
      <c r="B139" s="1">
        <v>45964</v>
      </c>
      <c r="C139" s="2" t="s">
        <v>454</v>
      </c>
      <c r="D139" s="3" t="s">
        <v>299</v>
      </c>
      <c r="E139" s="3" t="s">
        <v>264</v>
      </c>
      <c r="F139" s="4">
        <v>-193853.64</v>
      </c>
      <c r="G139" s="3" t="s">
        <v>212</v>
      </c>
      <c r="H139" s="3" t="s">
        <v>455</v>
      </c>
      <c r="I139" s="3" t="s">
        <v>221</v>
      </c>
      <c r="J139" s="2" t="s">
        <v>357</v>
      </c>
    </row>
    <row r="140" spans="1:10" x14ac:dyDescent="0.2">
      <c r="A140" s="10">
        <v>45994</v>
      </c>
      <c r="B140" s="10">
        <v>45964</v>
      </c>
      <c r="C140" s="11" t="s">
        <v>456</v>
      </c>
      <c r="D140" s="12" t="s">
        <v>299</v>
      </c>
      <c r="E140" s="12" t="s">
        <v>264</v>
      </c>
      <c r="F140" s="13">
        <v>-193890.7</v>
      </c>
      <c r="G140" s="12" t="s">
        <v>212</v>
      </c>
      <c r="H140" s="12" t="s">
        <v>457</v>
      </c>
      <c r="I140" s="12" t="s">
        <v>227</v>
      </c>
      <c r="J140" s="11" t="s">
        <v>215</v>
      </c>
    </row>
    <row r="141" spans="1:10" x14ac:dyDescent="0.2">
      <c r="A141" s="1">
        <v>45995</v>
      </c>
      <c r="B141" s="1">
        <v>45965</v>
      </c>
      <c r="C141" s="2" t="s">
        <v>458</v>
      </c>
      <c r="D141" s="3" t="s">
        <v>217</v>
      </c>
      <c r="E141" s="3" t="s">
        <v>237</v>
      </c>
      <c r="F141" s="4">
        <v>224306.42</v>
      </c>
      <c r="G141" s="3" t="s">
        <v>219</v>
      </c>
      <c r="H141" s="3" t="s">
        <v>459</v>
      </c>
      <c r="I141" s="3" t="s">
        <v>239</v>
      </c>
      <c r="J141" s="2" t="s">
        <v>320</v>
      </c>
    </row>
    <row r="142" spans="1:10" x14ac:dyDescent="0.2">
      <c r="A142" s="10">
        <v>45995</v>
      </c>
      <c r="B142" s="10">
        <v>45965</v>
      </c>
      <c r="C142" s="11" t="s">
        <v>411</v>
      </c>
      <c r="D142" s="12" t="s">
        <v>210</v>
      </c>
      <c r="E142" s="12" t="s">
        <v>274</v>
      </c>
      <c r="F142" s="13">
        <v>-129185.65</v>
      </c>
      <c r="G142" s="12" t="s">
        <v>212</v>
      </c>
      <c r="H142" s="12"/>
      <c r="I142" s="12" t="s">
        <v>239</v>
      </c>
      <c r="J142" s="11" t="s">
        <v>298</v>
      </c>
    </row>
    <row r="143" spans="1:10" x14ac:dyDescent="0.2">
      <c r="A143" s="1">
        <v>45996</v>
      </c>
      <c r="B143" s="1">
        <v>45966</v>
      </c>
      <c r="C143" s="2" t="s">
        <v>460</v>
      </c>
      <c r="D143" s="3" t="s">
        <v>280</v>
      </c>
      <c r="E143" s="3" t="s">
        <v>211</v>
      </c>
      <c r="F143" s="4">
        <v>-248125.31</v>
      </c>
      <c r="G143" s="3" t="s">
        <v>212</v>
      </c>
      <c r="H143" s="3" t="s">
        <v>461</v>
      </c>
      <c r="I143" s="3" t="s">
        <v>227</v>
      </c>
      <c r="J143" s="2" t="s">
        <v>298</v>
      </c>
    </row>
    <row r="144" spans="1:10" x14ac:dyDescent="0.2">
      <c r="A144" s="10">
        <v>45996</v>
      </c>
      <c r="B144" s="10">
        <v>45996</v>
      </c>
      <c r="C144" s="11" t="s">
        <v>337</v>
      </c>
      <c r="D144" s="12" t="s">
        <v>217</v>
      </c>
      <c r="E144" s="12" t="s">
        <v>218</v>
      </c>
      <c r="F144" s="13">
        <v>59271.94</v>
      </c>
      <c r="G144" s="12" t="s">
        <v>219</v>
      </c>
      <c r="H144" s="12" t="s">
        <v>393</v>
      </c>
      <c r="I144" s="12" t="s">
        <v>227</v>
      </c>
      <c r="J144" s="11" t="s">
        <v>285</v>
      </c>
    </row>
    <row r="145" spans="1:10" x14ac:dyDescent="0.2">
      <c r="A145" s="1">
        <v>45998</v>
      </c>
      <c r="B145" s="1">
        <v>45998</v>
      </c>
      <c r="C145" s="2" t="s">
        <v>260</v>
      </c>
      <c r="D145" s="3" t="s">
        <v>217</v>
      </c>
      <c r="E145" s="3" t="s">
        <v>225</v>
      </c>
      <c r="F145" s="4">
        <v>-149512.99</v>
      </c>
      <c r="G145" s="3" t="s">
        <v>212</v>
      </c>
      <c r="H145" s="3"/>
      <c r="I145" s="3" t="s">
        <v>227</v>
      </c>
      <c r="J145" s="2" t="s">
        <v>262</v>
      </c>
    </row>
    <row r="146" spans="1:10" x14ac:dyDescent="0.2">
      <c r="A146" s="10">
        <v>45998</v>
      </c>
      <c r="B146" s="10">
        <v>45998</v>
      </c>
      <c r="C146" s="11" t="s">
        <v>304</v>
      </c>
      <c r="D146" s="12" t="s">
        <v>267</v>
      </c>
      <c r="E146" s="12" t="s">
        <v>251</v>
      </c>
      <c r="F146" s="13">
        <v>-82908.259999999995</v>
      </c>
      <c r="G146" s="12" t="s">
        <v>212</v>
      </c>
      <c r="H146" s="12" t="s">
        <v>462</v>
      </c>
      <c r="I146" s="12" t="s">
        <v>227</v>
      </c>
      <c r="J146" s="11" t="s">
        <v>306</v>
      </c>
    </row>
    <row r="147" spans="1:10" x14ac:dyDescent="0.2">
      <c r="A147" s="68">
        <v>45998</v>
      </c>
      <c r="B147" s="68">
        <v>45998</v>
      </c>
      <c r="C147" s="69" t="s">
        <v>367</v>
      </c>
      <c r="D147" s="70" t="s">
        <v>280</v>
      </c>
      <c r="E147" s="70" t="s">
        <v>251</v>
      </c>
      <c r="F147" s="71">
        <v>-62340.33</v>
      </c>
      <c r="G147" s="70" t="s">
        <v>212</v>
      </c>
      <c r="H147" s="70" t="s">
        <v>463</v>
      </c>
      <c r="I147" s="70" t="s">
        <v>214</v>
      </c>
      <c r="J147" s="69" t="s">
        <v>243</v>
      </c>
    </row>
    <row r="148" spans="1:10" x14ac:dyDescent="0.2">
      <c r="A148" s="10">
        <v>45998</v>
      </c>
      <c r="B148" s="10">
        <v>45938</v>
      </c>
      <c r="C148" s="11" t="s">
        <v>464</v>
      </c>
      <c r="D148" s="12" t="s">
        <v>250</v>
      </c>
      <c r="E148" s="12" t="s">
        <v>327</v>
      </c>
      <c r="F148" s="13">
        <v>-235509.84</v>
      </c>
      <c r="G148" s="12" t="s">
        <v>212</v>
      </c>
      <c r="H148" s="12" t="s">
        <v>465</v>
      </c>
      <c r="I148" s="12" t="s">
        <v>239</v>
      </c>
      <c r="J148" s="11" t="s">
        <v>248</v>
      </c>
    </row>
    <row r="149" spans="1:10" x14ac:dyDescent="0.2">
      <c r="A149" s="1">
        <v>45999</v>
      </c>
      <c r="B149" s="1">
        <v>45999</v>
      </c>
      <c r="C149" s="2" t="s">
        <v>334</v>
      </c>
      <c r="D149" s="3" t="s">
        <v>217</v>
      </c>
      <c r="E149" s="3" t="s">
        <v>308</v>
      </c>
      <c r="F149" s="4">
        <v>-27752.03</v>
      </c>
      <c r="G149" s="3" t="s">
        <v>212</v>
      </c>
      <c r="H149" s="3" t="s">
        <v>466</v>
      </c>
      <c r="I149" s="3" t="s">
        <v>239</v>
      </c>
      <c r="J149" s="2" t="s">
        <v>253</v>
      </c>
    </row>
    <row r="150" spans="1:10" x14ac:dyDescent="0.2">
      <c r="A150" s="10">
        <v>46000</v>
      </c>
      <c r="B150" s="10">
        <v>46000</v>
      </c>
      <c r="C150" s="11" t="s">
        <v>276</v>
      </c>
      <c r="D150" s="12" t="s">
        <v>299</v>
      </c>
      <c r="E150" s="12" t="s">
        <v>218</v>
      </c>
      <c r="F150" s="13">
        <v>128156.09</v>
      </c>
      <c r="G150" s="12" t="s">
        <v>219</v>
      </c>
      <c r="H150" s="12" t="s">
        <v>393</v>
      </c>
      <c r="I150" s="12" t="s">
        <v>239</v>
      </c>
      <c r="J150" s="11" t="s">
        <v>278</v>
      </c>
    </row>
    <row r="151" spans="1:10" x14ac:dyDescent="0.2">
      <c r="A151" s="1">
        <v>46000</v>
      </c>
      <c r="B151" s="1">
        <v>45970</v>
      </c>
      <c r="C151" s="2" t="s">
        <v>467</v>
      </c>
      <c r="D151" s="3" t="s">
        <v>280</v>
      </c>
      <c r="E151" s="3" t="s">
        <v>327</v>
      </c>
      <c r="F151" s="4">
        <v>-240386.56</v>
      </c>
      <c r="G151" s="3" t="s">
        <v>212</v>
      </c>
      <c r="H151" s="3" t="s">
        <v>468</v>
      </c>
      <c r="I151" s="3" t="s">
        <v>221</v>
      </c>
      <c r="J151" s="2" t="s">
        <v>298</v>
      </c>
    </row>
    <row r="152" spans="1:10" x14ac:dyDescent="0.2">
      <c r="A152" s="68">
        <v>46000</v>
      </c>
      <c r="B152" s="68">
        <v>46000</v>
      </c>
      <c r="C152" s="69" t="s">
        <v>469</v>
      </c>
      <c r="D152" s="70" t="s">
        <v>250</v>
      </c>
      <c r="E152" s="70" t="s">
        <v>225</v>
      </c>
      <c r="F152" s="71">
        <v>-115674.74</v>
      </c>
      <c r="G152" s="70" t="s">
        <v>212</v>
      </c>
      <c r="H152" s="70" t="s">
        <v>470</v>
      </c>
      <c r="I152" s="70" t="s">
        <v>214</v>
      </c>
      <c r="J152" s="69" t="s">
        <v>357</v>
      </c>
    </row>
    <row r="153" spans="1:10" x14ac:dyDescent="0.2">
      <c r="A153" s="1">
        <v>46000</v>
      </c>
      <c r="B153" s="1">
        <v>45940</v>
      </c>
      <c r="C153" s="2" t="s">
        <v>369</v>
      </c>
      <c r="D153" s="3" t="s">
        <v>217</v>
      </c>
      <c r="E153" s="3" t="s">
        <v>218</v>
      </c>
      <c r="F153" s="4">
        <v>170491.13</v>
      </c>
      <c r="G153" s="3" t="s">
        <v>219</v>
      </c>
      <c r="H153" s="3" t="s">
        <v>471</v>
      </c>
      <c r="I153" s="3" t="s">
        <v>221</v>
      </c>
      <c r="J153" s="2" t="s">
        <v>350</v>
      </c>
    </row>
    <row r="154" spans="1:10" x14ac:dyDescent="0.2">
      <c r="A154" s="10">
        <v>46000</v>
      </c>
      <c r="B154" s="10">
        <v>46000</v>
      </c>
      <c r="C154" s="11" t="s">
        <v>472</v>
      </c>
      <c r="D154" s="12" t="s">
        <v>217</v>
      </c>
      <c r="E154" s="12" t="s">
        <v>237</v>
      </c>
      <c r="F154" s="13">
        <v>26815.75</v>
      </c>
      <c r="G154" s="12" t="s">
        <v>219</v>
      </c>
      <c r="H154" s="12" t="s">
        <v>349</v>
      </c>
      <c r="I154" s="12" t="s">
        <v>227</v>
      </c>
      <c r="J154" s="11" t="s">
        <v>235</v>
      </c>
    </row>
    <row r="155" spans="1:10" x14ac:dyDescent="0.2">
      <c r="A155" s="1">
        <v>46001</v>
      </c>
      <c r="B155" s="1">
        <v>46001</v>
      </c>
      <c r="C155" s="2" t="s">
        <v>454</v>
      </c>
      <c r="D155" s="3" t="s">
        <v>299</v>
      </c>
      <c r="E155" s="3" t="s">
        <v>264</v>
      </c>
      <c r="F155" s="4">
        <v>-21426.84</v>
      </c>
      <c r="G155" s="3" t="s">
        <v>212</v>
      </c>
      <c r="H155" s="3"/>
      <c r="I155" s="3" t="s">
        <v>239</v>
      </c>
      <c r="J155" s="2" t="s">
        <v>357</v>
      </c>
    </row>
    <row r="156" spans="1:10" x14ac:dyDescent="0.2">
      <c r="A156" s="10">
        <v>46001</v>
      </c>
      <c r="B156" s="10">
        <v>46001</v>
      </c>
      <c r="C156" s="11" t="s">
        <v>244</v>
      </c>
      <c r="D156" s="12" t="s">
        <v>224</v>
      </c>
      <c r="E156" s="12" t="s">
        <v>245</v>
      </c>
      <c r="F156" s="13">
        <v>-30143.35</v>
      </c>
      <c r="G156" s="12" t="s">
        <v>212</v>
      </c>
      <c r="H156" s="12" t="s">
        <v>473</v>
      </c>
      <c r="I156" s="12" t="s">
        <v>239</v>
      </c>
      <c r="J156" s="11" t="s">
        <v>215</v>
      </c>
    </row>
    <row r="157" spans="1:10" x14ac:dyDescent="0.2">
      <c r="A157" s="68">
        <v>46001</v>
      </c>
      <c r="B157" s="68">
        <v>46001</v>
      </c>
      <c r="C157" s="69" t="s">
        <v>216</v>
      </c>
      <c r="D157" s="70" t="s">
        <v>299</v>
      </c>
      <c r="E157" s="70" t="s">
        <v>218</v>
      </c>
      <c r="F157" s="71">
        <v>189829.65</v>
      </c>
      <c r="G157" s="70" t="s">
        <v>219</v>
      </c>
      <c r="H157" s="70" t="s">
        <v>425</v>
      </c>
      <c r="I157" s="70" t="s">
        <v>214</v>
      </c>
      <c r="J157" s="69" t="s">
        <v>222</v>
      </c>
    </row>
    <row r="158" spans="1:10" x14ac:dyDescent="0.2">
      <c r="A158" s="68">
        <v>46001</v>
      </c>
      <c r="B158" s="68">
        <v>46001</v>
      </c>
      <c r="C158" s="69" t="s">
        <v>317</v>
      </c>
      <c r="D158" s="70" t="s">
        <v>217</v>
      </c>
      <c r="E158" s="70" t="s">
        <v>230</v>
      </c>
      <c r="F158" s="71">
        <v>33526.71</v>
      </c>
      <c r="G158" s="70" t="s">
        <v>219</v>
      </c>
      <c r="H158" s="70" t="s">
        <v>302</v>
      </c>
      <c r="I158" s="70" t="s">
        <v>214</v>
      </c>
      <c r="J158" s="69" t="s">
        <v>235</v>
      </c>
    </row>
    <row r="159" spans="1:10" x14ac:dyDescent="0.2">
      <c r="A159" s="1">
        <v>46001</v>
      </c>
      <c r="B159" s="1">
        <v>46001</v>
      </c>
      <c r="C159" s="2" t="s">
        <v>474</v>
      </c>
      <c r="D159" s="3" t="s">
        <v>217</v>
      </c>
      <c r="E159" s="3" t="s">
        <v>242</v>
      </c>
      <c r="F159" s="4">
        <v>-199540.07</v>
      </c>
      <c r="G159" s="3" t="s">
        <v>212</v>
      </c>
      <c r="H159" s="3" t="s">
        <v>475</v>
      </c>
      <c r="I159" s="3" t="s">
        <v>227</v>
      </c>
      <c r="J159" s="2" t="s">
        <v>329</v>
      </c>
    </row>
    <row r="160" spans="1:10" x14ac:dyDescent="0.2">
      <c r="A160" s="68">
        <v>46001</v>
      </c>
      <c r="B160" s="68">
        <v>46001</v>
      </c>
      <c r="C160" s="69" t="s">
        <v>476</v>
      </c>
      <c r="D160" s="70" t="s">
        <v>217</v>
      </c>
      <c r="E160" s="70" t="s">
        <v>233</v>
      </c>
      <c r="F160" s="71">
        <v>52346.43</v>
      </c>
      <c r="G160" s="70" t="s">
        <v>219</v>
      </c>
      <c r="H160" s="70" t="s">
        <v>477</v>
      </c>
      <c r="I160" s="70" t="s">
        <v>214</v>
      </c>
      <c r="J160" s="69" t="s">
        <v>303</v>
      </c>
    </row>
    <row r="161" spans="1:10" x14ac:dyDescent="0.2">
      <c r="A161" s="1">
        <v>46002</v>
      </c>
      <c r="B161" s="1">
        <v>46002</v>
      </c>
      <c r="C161" s="2" t="s">
        <v>258</v>
      </c>
      <c r="D161" s="3" t="s">
        <v>224</v>
      </c>
      <c r="E161" s="3" t="s">
        <v>255</v>
      </c>
      <c r="F161" s="4">
        <v>-100646.08</v>
      </c>
      <c r="G161" s="3" t="s">
        <v>212</v>
      </c>
      <c r="H161" s="3"/>
      <c r="I161" s="3" t="s">
        <v>239</v>
      </c>
      <c r="J161" s="2" t="s">
        <v>243</v>
      </c>
    </row>
    <row r="162" spans="1:10" x14ac:dyDescent="0.2">
      <c r="A162" s="10">
        <v>46002</v>
      </c>
      <c r="B162" s="10">
        <v>46002</v>
      </c>
      <c r="C162" s="11" t="s">
        <v>478</v>
      </c>
      <c r="D162" s="12" t="s">
        <v>267</v>
      </c>
      <c r="E162" s="12" t="s">
        <v>295</v>
      </c>
      <c r="F162" s="13">
        <v>-78781.27</v>
      </c>
      <c r="G162" s="12" t="s">
        <v>212</v>
      </c>
      <c r="H162" s="12"/>
      <c r="I162" s="12" t="s">
        <v>221</v>
      </c>
      <c r="J162" s="11" t="s">
        <v>311</v>
      </c>
    </row>
    <row r="163" spans="1:10" x14ac:dyDescent="0.2">
      <c r="A163" s="1">
        <v>46002</v>
      </c>
      <c r="B163" s="1">
        <v>46002</v>
      </c>
      <c r="C163" s="2" t="s">
        <v>353</v>
      </c>
      <c r="D163" s="3" t="s">
        <v>217</v>
      </c>
      <c r="E163" s="3" t="s">
        <v>218</v>
      </c>
      <c r="F163" s="4">
        <v>248190.82</v>
      </c>
      <c r="G163" s="3" t="s">
        <v>219</v>
      </c>
      <c r="H163" s="3" t="s">
        <v>220</v>
      </c>
      <c r="I163" s="3" t="s">
        <v>239</v>
      </c>
      <c r="J163" s="2" t="s">
        <v>303</v>
      </c>
    </row>
    <row r="164" spans="1:10" x14ac:dyDescent="0.2">
      <c r="A164" s="68">
        <v>46002</v>
      </c>
      <c r="B164" s="68">
        <v>45972</v>
      </c>
      <c r="C164" s="69" t="s">
        <v>408</v>
      </c>
      <c r="D164" s="70" t="s">
        <v>280</v>
      </c>
      <c r="E164" s="70" t="s">
        <v>251</v>
      </c>
      <c r="F164" s="71">
        <v>-201072.24</v>
      </c>
      <c r="G164" s="70" t="s">
        <v>212</v>
      </c>
      <c r="H164" s="70"/>
      <c r="I164" s="70" t="s">
        <v>214</v>
      </c>
      <c r="J164" s="69" t="s">
        <v>248</v>
      </c>
    </row>
    <row r="165" spans="1:10" x14ac:dyDescent="0.2">
      <c r="A165" s="1">
        <v>46003</v>
      </c>
      <c r="B165" s="1">
        <v>46003</v>
      </c>
      <c r="C165" s="2" t="s">
        <v>479</v>
      </c>
      <c r="D165" s="3" t="s">
        <v>250</v>
      </c>
      <c r="E165" s="3" t="s">
        <v>211</v>
      </c>
      <c r="F165" s="4">
        <v>-246601.5</v>
      </c>
      <c r="G165" s="3" t="s">
        <v>212</v>
      </c>
      <c r="H165" s="3" t="s">
        <v>480</v>
      </c>
      <c r="I165" s="3" t="s">
        <v>227</v>
      </c>
      <c r="J165" s="2" t="s">
        <v>314</v>
      </c>
    </row>
    <row r="166" spans="1:10" x14ac:dyDescent="0.2">
      <c r="A166" s="10">
        <v>46003</v>
      </c>
      <c r="B166" s="10">
        <v>46003</v>
      </c>
      <c r="C166" s="11" t="s">
        <v>421</v>
      </c>
      <c r="D166" s="12" t="s">
        <v>217</v>
      </c>
      <c r="E166" s="12" t="s">
        <v>230</v>
      </c>
      <c r="F166" s="13">
        <v>225678.14</v>
      </c>
      <c r="G166" s="12" t="s">
        <v>219</v>
      </c>
      <c r="H166" s="12" t="s">
        <v>481</v>
      </c>
      <c r="I166" s="12" t="s">
        <v>239</v>
      </c>
      <c r="J166" s="11" t="s">
        <v>272</v>
      </c>
    </row>
    <row r="167" spans="1:10" x14ac:dyDescent="0.2">
      <c r="A167" s="1">
        <v>46004</v>
      </c>
      <c r="B167" s="1">
        <v>46004</v>
      </c>
      <c r="C167" s="2" t="s">
        <v>482</v>
      </c>
      <c r="D167" s="3" t="s">
        <v>267</v>
      </c>
      <c r="E167" s="3" t="s">
        <v>255</v>
      </c>
      <c r="F167" s="4">
        <v>-154718.04999999999</v>
      </c>
      <c r="G167" s="3" t="s">
        <v>212</v>
      </c>
      <c r="H167" s="3"/>
      <c r="I167" s="3" t="s">
        <v>227</v>
      </c>
      <c r="J167" s="2" t="s">
        <v>262</v>
      </c>
    </row>
    <row r="168" spans="1:10" x14ac:dyDescent="0.2">
      <c r="A168" s="10">
        <v>46004</v>
      </c>
      <c r="B168" s="10">
        <v>45974</v>
      </c>
      <c r="C168" s="11" t="s">
        <v>483</v>
      </c>
      <c r="D168" s="12" t="s">
        <v>217</v>
      </c>
      <c r="E168" s="12" t="s">
        <v>327</v>
      </c>
      <c r="F168" s="13">
        <v>-75790.23</v>
      </c>
      <c r="G168" s="12" t="s">
        <v>212</v>
      </c>
      <c r="H168" s="12"/>
      <c r="I168" s="12" t="s">
        <v>239</v>
      </c>
      <c r="J168" s="11" t="s">
        <v>314</v>
      </c>
    </row>
    <row r="169" spans="1:10" x14ac:dyDescent="0.2">
      <c r="A169" s="1">
        <v>46005</v>
      </c>
      <c r="B169" s="1">
        <v>46005</v>
      </c>
      <c r="C169" s="2" t="s">
        <v>484</v>
      </c>
      <c r="D169" s="3" t="s">
        <v>280</v>
      </c>
      <c r="E169" s="3" t="s">
        <v>230</v>
      </c>
      <c r="F169" s="4">
        <v>288473.15000000002</v>
      </c>
      <c r="G169" s="3" t="s">
        <v>219</v>
      </c>
      <c r="H169" s="3" t="s">
        <v>485</v>
      </c>
      <c r="I169" s="3" t="s">
        <v>239</v>
      </c>
      <c r="J169" s="2" t="s">
        <v>350</v>
      </c>
    </row>
    <row r="170" spans="1:10" x14ac:dyDescent="0.2">
      <c r="A170" s="10">
        <v>46006</v>
      </c>
      <c r="B170" s="10">
        <v>46006</v>
      </c>
      <c r="C170" s="11" t="s">
        <v>460</v>
      </c>
      <c r="D170" s="12" t="s">
        <v>224</v>
      </c>
      <c r="E170" s="12" t="s">
        <v>211</v>
      </c>
      <c r="F170" s="13">
        <v>-227722.71</v>
      </c>
      <c r="G170" s="12" t="s">
        <v>212</v>
      </c>
      <c r="H170" s="12"/>
      <c r="I170" s="12" t="s">
        <v>239</v>
      </c>
      <c r="J170" s="11" t="s">
        <v>298</v>
      </c>
    </row>
    <row r="171" spans="1:10" x14ac:dyDescent="0.2">
      <c r="A171" s="1">
        <v>46007</v>
      </c>
      <c r="B171" s="1">
        <v>45947</v>
      </c>
      <c r="C171" s="2" t="s">
        <v>346</v>
      </c>
      <c r="D171" s="3" t="s">
        <v>224</v>
      </c>
      <c r="E171" s="3" t="s">
        <v>308</v>
      </c>
      <c r="F171" s="4">
        <v>-2540.2600000000002</v>
      </c>
      <c r="G171" s="3" t="s">
        <v>212</v>
      </c>
      <c r="H171" s="3"/>
      <c r="I171" s="3" t="s">
        <v>239</v>
      </c>
      <c r="J171" s="2" t="s">
        <v>311</v>
      </c>
    </row>
    <row r="172" spans="1:10" x14ac:dyDescent="0.2">
      <c r="A172" s="10">
        <v>46007</v>
      </c>
      <c r="B172" s="10">
        <v>46007</v>
      </c>
      <c r="C172" s="11" t="s">
        <v>486</v>
      </c>
      <c r="D172" s="12" t="s">
        <v>267</v>
      </c>
      <c r="E172" s="12" t="s">
        <v>274</v>
      </c>
      <c r="F172" s="13">
        <v>-78888.73</v>
      </c>
      <c r="G172" s="12" t="s">
        <v>212</v>
      </c>
      <c r="H172" s="12" t="s">
        <v>487</v>
      </c>
      <c r="I172" s="12" t="s">
        <v>239</v>
      </c>
      <c r="J172" s="11" t="s">
        <v>215</v>
      </c>
    </row>
    <row r="173" spans="1:10" x14ac:dyDescent="0.2">
      <c r="A173" s="68">
        <v>46008</v>
      </c>
      <c r="B173" s="68">
        <v>45978</v>
      </c>
      <c r="C173" s="69" t="s">
        <v>488</v>
      </c>
      <c r="D173" s="70" t="s">
        <v>217</v>
      </c>
      <c r="E173" s="70" t="s">
        <v>308</v>
      </c>
      <c r="F173" s="71">
        <v>-75637.22</v>
      </c>
      <c r="G173" s="70" t="s">
        <v>212</v>
      </c>
      <c r="H173" s="70"/>
      <c r="I173" s="70" t="s">
        <v>214</v>
      </c>
      <c r="J173" s="69" t="s">
        <v>262</v>
      </c>
    </row>
    <row r="174" spans="1:10" x14ac:dyDescent="0.2">
      <c r="A174" s="10">
        <v>46008</v>
      </c>
      <c r="B174" s="10">
        <v>45978</v>
      </c>
      <c r="C174" s="11" t="s">
        <v>289</v>
      </c>
      <c r="D174" s="12" t="s">
        <v>217</v>
      </c>
      <c r="E174" s="12" t="s">
        <v>230</v>
      </c>
      <c r="F174" s="13">
        <v>282604.46000000002</v>
      </c>
      <c r="G174" s="12" t="s">
        <v>219</v>
      </c>
      <c r="H174" s="12" t="s">
        <v>319</v>
      </c>
      <c r="I174" s="12" t="s">
        <v>227</v>
      </c>
      <c r="J174" s="11" t="s">
        <v>240</v>
      </c>
    </row>
    <row r="175" spans="1:10" x14ac:dyDescent="0.2">
      <c r="A175" s="1">
        <v>46008</v>
      </c>
      <c r="B175" s="1">
        <v>45978</v>
      </c>
      <c r="C175" s="2" t="s">
        <v>276</v>
      </c>
      <c r="D175" s="3" t="s">
        <v>217</v>
      </c>
      <c r="E175" s="3" t="s">
        <v>218</v>
      </c>
      <c r="F175" s="4">
        <v>272552.28999999998</v>
      </c>
      <c r="G175" s="3" t="s">
        <v>219</v>
      </c>
      <c r="H175" s="3" t="s">
        <v>365</v>
      </c>
      <c r="I175" s="3" t="s">
        <v>227</v>
      </c>
      <c r="J175" s="2" t="s">
        <v>278</v>
      </c>
    </row>
    <row r="176" spans="1:10" x14ac:dyDescent="0.2">
      <c r="A176" s="10">
        <v>46008</v>
      </c>
      <c r="B176" s="10">
        <v>46008</v>
      </c>
      <c r="C176" s="11" t="s">
        <v>489</v>
      </c>
      <c r="D176" s="12" t="s">
        <v>210</v>
      </c>
      <c r="E176" s="12" t="s">
        <v>225</v>
      </c>
      <c r="F176" s="13">
        <v>-211843.97</v>
      </c>
      <c r="G176" s="12" t="s">
        <v>212</v>
      </c>
      <c r="H176" s="12" t="s">
        <v>490</v>
      </c>
      <c r="I176" s="12" t="s">
        <v>227</v>
      </c>
      <c r="J176" s="11" t="s">
        <v>253</v>
      </c>
    </row>
    <row r="177" spans="1:10" x14ac:dyDescent="0.2">
      <c r="A177" s="1">
        <v>46010</v>
      </c>
      <c r="B177" s="1">
        <v>45980</v>
      </c>
      <c r="C177" s="2" t="s">
        <v>491</v>
      </c>
      <c r="D177" s="3" t="s">
        <v>280</v>
      </c>
      <c r="E177" s="3" t="s">
        <v>255</v>
      </c>
      <c r="F177" s="4">
        <v>-206396.45</v>
      </c>
      <c r="G177" s="3" t="s">
        <v>212</v>
      </c>
      <c r="H177" s="3"/>
      <c r="I177" s="3" t="s">
        <v>239</v>
      </c>
      <c r="J177" s="2" t="s">
        <v>228</v>
      </c>
    </row>
    <row r="178" spans="1:10" x14ac:dyDescent="0.2">
      <c r="A178" s="68">
        <v>46010</v>
      </c>
      <c r="B178" s="68">
        <v>46010</v>
      </c>
      <c r="C178" s="69" t="s">
        <v>415</v>
      </c>
      <c r="D178" s="70" t="s">
        <v>210</v>
      </c>
      <c r="E178" s="70" t="s">
        <v>242</v>
      </c>
      <c r="F178" s="71">
        <v>-194083.55</v>
      </c>
      <c r="G178" s="70" t="s">
        <v>212</v>
      </c>
      <c r="H178" s="70" t="s">
        <v>492</v>
      </c>
      <c r="I178" s="70" t="s">
        <v>214</v>
      </c>
      <c r="J178" s="69" t="s">
        <v>215</v>
      </c>
    </row>
    <row r="179" spans="1:10" x14ac:dyDescent="0.2">
      <c r="A179" s="68">
        <v>46011</v>
      </c>
      <c r="B179" s="68">
        <v>46011</v>
      </c>
      <c r="C179" s="69" t="s">
        <v>493</v>
      </c>
      <c r="D179" s="70" t="s">
        <v>267</v>
      </c>
      <c r="E179" s="70" t="s">
        <v>255</v>
      </c>
      <c r="F179" s="71">
        <v>-170442.8</v>
      </c>
      <c r="G179" s="70" t="s">
        <v>212</v>
      </c>
      <c r="H179" s="70" t="s">
        <v>494</v>
      </c>
      <c r="I179" s="70" t="s">
        <v>214</v>
      </c>
      <c r="J179" s="69" t="s">
        <v>215</v>
      </c>
    </row>
    <row r="180" spans="1:10" x14ac:dyDescent="0.2">
      <c r="A180" s="10">
        <v>46011</v>
      </c>
      <c r="B180" s="10">
        <v>45981</v>
      </c>
      <c r="C180" s="11" t="s">
        <v>376</v>
      </c>
      <c r="D180" s="12" t="s">
        <v>217</v>
      </c>
      <c r="E180" s="12" t="s">
        <v>233</v>
      </c>
      <c r="F180" s="13">
        <v>301687.07</v>
      </c>
      <c r="G180" s="12" t="s">
        <v>219</v>
      </c>
      <c r="H180" s="12" t="s">
        <v>495</v>
      </c>
      <c r="I180" s="12" t="s">
        <v>239</v>
      </c>
      <c r="J180" s="11" t="s">
        <v>350</v>
      </c>
    </row>
    <row r="181" spans="1:10" x14ac:dyDescent="0.2">
      <c r="A181" s="1">
        <v>46012</v>
      </c>
      <c r="B181" s="1">
        <v>45982</v>
      </c>
      <c r="C181" s="2" t="s">
        <v>301</v>
      </c>
      <c r="D181" s="3" t="s">
        <v>217</v>
      </c>
      <c r="E181" s="3" t="s">
        <v>237</v>
      </c>
      <c r="F181" s="4">
        <v>178387.73</v>
      </c>
      <c r="G181" s="3" t="s">
        <v>219</v>
      </c>
      <c r="H181" s="3" t="s">
        <v>496</v>
      </c>
      <c r="I181" s="3" t="s">
        <v>227</v>
      </c>
      <c r="J181" s="2" t="s">
        <v>303</v>
      </c>
    </row>
    <row r="182" spans="1:10" x14ac:dyDescent="0.2">
      <c r="A182" s="10">
        <v>46013</v>
      </c>
      <c r="B182" s="10">
        <v>46013</v>
      </c>
      <c r="C182" s="11" t="s">
        <v>497</v>
      </c>
      <c r="D182" s="12" t="s">
        <v>250</v>
      </c>
      <c r="E182" s="12" t="s">
        <v>242</v>
      </c>
      <c r="F182" s="13">
        <v>-119893.53</v>
      </c>
      <c r="G182" s="12" t="s">
        <v>212</v>
      </c>
      <c r="H182" s="12"/>
      <c r="I182" s="12" t="s">
        <v>239</v>
      </c>
      <c r="J182" s="11" t="s">
        <v>282</v>
      </c>
    </row>
    <row r="183" spans="1:10" x14ac:dyDescent="0.2">
      <c r="A183" s="68">
        <v>46013</v>
      </c>
      <c r="B183" s="68">
        <v>46013</v>
      </c>
      <c r="C183" s="69" t="s">
        <v>304</v>
      </c>
      <c r="D183" s="70" t="s">
        <v>210</v>
      </c>
      <c r="E183" s="70" t="s">
        <v>251</v>
      </c>
      <c r="F183" s="71">
        <v>-74108.55</v>
      </c>
      <c r="G183" s="70" t="s">
        <v>212</v>
      </c>
      <c r="H183" s="70" t="s">
        <v>498</v>
      </c>
      <c r="I183" s="70" t="s">
        <v>214</v>
      </c>
      <c r="J183" s="69" t="s">
        <v>306</v>
      </c>
    </row>
    <row r="184" spans="1:10" x14ac:dyDescent="0.2">
      <c r="A184" s="10">
        <v>46013</v>
      </c>
      <c r="B184" s="10">
        <v>45983</v>
      </c>
      <c r="C184" s="11" t="s">
        <v>467</v>
      </c>
      <c r="D184" s="12" t="s">
        <v>217</v>
      </c>
      <c r="E184" s="12" t="s">
        <v>327</v>
      </c>
      <c r="F184" s="13">
        <v>-35419.65</v>
      </c>
      <c r="G184" s="12" t="s">
        <v>212</v>
      </c>
      <c r="H184" s="12" t="s">
        <v>499</v>
      </c>
      <c r="I184" s="12" t="s">
        <v>221</v>
      </c>
      <c r="J184" s="11" t="s">
        <v>298</v>
      </c>
    </row>
    <row r="185" spans="1:10" x14ac:dyDescent="0.2">
      <c r="A185" s="1">
        <v>46013</v>
      </c>
      <c r="B185" s="1">
        <v>46013</v>
      </c>
      <c r="C185" s="2" t="s">
        <v>312</v>
      </c>
      <c r="D185" s="3" t="s">
        <v>210</v>
      </c>
      <c r="E185" s="3" t="s">
        <v>225</v>
      </c>
      <c r="F185" s="4">
        <v>-168891.98</v>
      </c>
      <c r="G185" s="3" t="s">
        <v>212</v>
      </c>
      <c r="H185" s="3" t="s">
        <v>500</v>
      </c>
      <c r="I185" s="3" t="s">
        <v>227</v>
      </c>
      <c r="J185" s="2" t="s">
        <v>314</v>
      </c>
    </row>
    <row r="186" spans="1:10" x14ac:dyDescent="0.2">
      <c r="A186" s="68">
        <v>46013</v>
      </c>
      <c r="B186" s="68">
        <v>46013</v>
      </c>
      <c r="C186" s="69" t="s">
        <v>346</v>
      </c>
      <c r="D186" s="70" t="s">
        <v>217</v>
      </c>
      <c r="E186" s="70" t="s">
        <v>308</v>
      </c>
      <c r="F186" s="71">
        <v>-47181.1</v>
      </c>
      <c r="G186" s="70" t="s">
        <v>212</v>
      </c>
      <c r="H186" s="70" t="s">
        <v>501</v>
      </c>
      <c r="I186" s="70" t="s">
        <v>214</v>
      </c>
      <c r="J186" s="69" t="s">
        <v>311</v>
      </c>
    </row>
    <row r="187" spans="1:10" x14ac:dyDescent="0.2">
      <c r="A187" s="1">
        <v>46014</v>
      </c>
      <c r="B187" s="1">
        <v>45984</v>
      </c>
      <c r="C187" s="2" t="s">
        <v>317</v>
      </c>
      <c r="D187" s="3" t="s">
        <v>217</v>
      </c>
      <c r="E187" s="3" t="s">
        <v>230</v>
      </c>
      <c r="F187" s="4">
        <v>149170.32</v>
      </c>
      <c r="G187" s="3" t="s">
        <v>219</v>
      </c>
      <c r="H187" s="3" t="s">
        <v>502</v>
      </c>
      <c r="I187" s="3" t="s">
        <v>221</v>
      </c>
      <c r="J187" s="2" t="s">
        <v>235</v>
      </c>
    </row>
    <row r="188" spans="1:10" x14ac:dyDescent="0.2">
      <c r="A188" s="10">
        <v>46014</v>
      </c>
      <c r="B188" s="10">
        <v>46014</v>
      </c>
      <c r="C188" s="11" t="s">
        <v>335</v>
      </c>
      <c r="D188" s="12" t="s">
        <v>217</v>
      </c>
      <c r="E188" s="12" t="s">
        <v>233</v>
      </c>
      <c r="F188" s="13">
        <v>320969.89</v>
      </c>
      <c r="G188" s="12" t="s">
        <v>219</v>
      </c>
      <c r="H188" s="12" t="s">
        <v>444</v>
      </c>
      <c r="I188" s="12" t="s">
        <v>239</v>
      </c>
      <c r="J188" s="11" t="s">
        <v>278</v>
      </c>
    </row>
    <row r="189" spans="1:10" x14ac:dyDescent="0.2">
      <c r="A189" s="1">
        <v>46016</v>
      </c>
      <c r="B189" s="1">
        <v>45956</v>
      </c>
      <c r="C189" s="2" t="s">
        <v>503</v>
      </c>
      <c r="D189" s="3" t="s">
        <v>267</v>
      </c>
      <c r="E189" s="3" t="s">
        <v>225</v>
      </c>
      <c r="F189" s="4">
        <v>-5176.01</v>
      </c>
      <c r="G189" s="3" t="s">
        <v>212</v>
      </c>
      <c r="H189" s="3" t="s">
        <v>504</v>
      </c>
      <c r="I189" s="3" t="s">
        <v>227</v>
      </c>
      <c r="J189" s="2" t="s">
        <v>329</v>
      </c>
    </row>
    <row r="190" spans="1:10" x14ac:dyDescent="0.2">
      <c r="A190" s="10">
        <v>46016</v>
      </c>
      <c r="B190" s="10">
        <v>46016</v>
      </c>
      <c r="C190" s="11" t="s">
        <v>292</v>
      </c>
      <c r="D190" s="12" t="s">
        <v>267</v>
      </c>
      <c r="E190" s="12" t="s">
        <v>211</v>
      </c>
      <c r="F190" s="13">
        <v>-37729.79</v>
      </c>
      <c r="G190" s="12" t="s">
        <v>212</v>
      </c>
      <c r="H190" s="12" t="s">
        <v>505</v>
      </c>
      <c r="I190" s="12" t="s">
        <v>239</v>
      </c>
      <c r="J190" s="11" t="s">
        <v>228</v>
      </c>
    </row>
    <row r="191" spans="1:10" x14ac:dyDescent="0.2">
      <c r="A191" s="1">
        <v>46017</v>
      </c>
      <c r="B191" s="1">
        <v>46017</v>
      </c>
      <c r="C191" s="2" t="s">
        <v>337</v>
      </c>
      <c r="D191" s="3" t="s">
        <v>217</v>
      </c>
      <c r="E191" s="3" t="s">
        <v>218</v>
      </c>
      <c r="F191" s="4">
        <v>33118.19</v>
      </c>
      <c r="G191" s="3" t="s">
        <v>219</v>
      </c>
      <c r="H191" s="3" t="s">
        <v>447</v>
      </c>
      <c r="I191" s="3" t="s">
        <v>239</v>
      </c>
      <c r="J191" s="2" t="s">
        <v>285</v>
      </c>
    </row>
    <row r="192" spans="1:10" x14ac:dyDescent="0.2">
      <c r="A192" s="10">
        <v>46018</v>
      </c>
      <c r="B192" s="10">
        <v>45988</v>
      </c>
      <c r="C192" s="11" t="s">
        <v>369</v>
      </c>
      <c r="D192" s="12" t="s">
        <v>217</v>
      </c>
      <c r="E192" s="12" t="s">
        <v>218</v>
      </c>
      <c r="F192" s="13">
        <v>11289.54</v>
      </c>
      <c r="G192" s="12" t="s">
        <v>219</v>
      </c>
      <c r="H192" s="12" t="s">
        <v>506</v>
      </c>
      <c r="I192" s="12" t="s">
        <v>239</v>
      </c>
      <c r="J192" s="11" t="s">
        <v>350</v>
      </c>
    </row>
    <row r="193" spans="1:10" x14ac:dyDescent="0.2">
      <c r="A193" s="1">
        <v>46019</v>
      </c>
      <c r="B193" s="1">
        <v>46019</v>
      </c>
      <c r="C193" s="2" t="s">
        <v>507</v>
      </c>
      <c r="D193" s="3" t="s">
        <v>217</v>
      </c>
      <c r="E193" s="3" t="s">
        <v>255</v>
      </c>
      <c r="F193" s="4">
        <v>-143914.10999999999</v>
      </c>
      <c r="G193" s="3" t="s">
        <v>212</v>
      </c>
      <c r="H193" s="3" t="s">
        <v>508</v>
      </c>
      <c r="I193" s="3" t="s">
        <v>227</v>
      </c>
      <c r="J193" s="2" t="s">
        <v>329</v>
      </c>
    </row>
    <row r="194" spans="1:10" x14ac:dyDescent="0.2">
      <c r="A194" s="10">
        <v>46019</v>
      </c>
      <c r="B194" s="10">
        <v>46019</v>
      </c>
      <c r="C194" s="11" t="s">
        <v>244</v>
      </c>
      <c r="D194" s="12" t="s">
        <v>267</v>
      </c>
      <c r="E194" s="12" t="s">
        <v>245</v>
      </c>
      <c r="F194" s="13">
        <v>-41912.410000000003</v>
      </c>
      <c r="G194" s="12" t="s">
        <v>212</v>
      </c>
      <c r="H194" s="12"/>
      <c r="I194" s="12" t="s">
        <v>239</v>
      </c>
      <c r="J194" s="11" t="s">
        <v>215</v>
      </c>
    </row>
    <row r="195" spans="1:10" x14ac:dyDescent="0.2">
      <c r="A195" s="68">
        <v>46020</v>
      </c>
      <c r="B195" s="68">
        <v>45990</v>
      </c>
      <c r="C195" s="69" t="s">
        <v>456</v>
      </c>
      <c r="D195" s="70" t="s">
        <v>299</v>
      </c>
      <c r="E195" s="70" t="s">
        <v>264</v>
      </c>
      <c r="F195" s="71">
        <v>-139951.06</v>
      </c>
      <c r="G195" s="70" t="s">
        <v>212</v>
      </c>
      <c r="H195" s="70" t="s">
        <v>509</v>
      </c>
      <c r="I195" s="70" t="s">
        <v>214</v>
      </c>
      <c r="J195" s="69" t="s">
        <v>215</v>
      </c>
    </row>
    <row r="196" spans="1:10" x14ac:dyDescent="0.2">
      <c r="A196" s="10">
        <v>46020</v>
      </c>
      <c r="B196" s="10">
        <v>45960</v>
      </c>
      <c r="C196" s="11" t="s">
        <v>364</v>
      </c>
      <c r="D196" s="12" t="s">
        <v>299</v>
      </c>
      <c r="E196" s="12" t="s">
        <v>233</v>
      </c>
      <c r="F196" s="13">
        <v>217295.15</v>
      </c>
      <c r="G196" s="12" t="s">
        <v>219</v>
      </c>
      <c r="H196" s="12" t="s">
        <v>361</v>
      </c>
      <c r="I196" s="12" t="s">
        <v>239</v>
      </c>
      <c r="J196" s="11" t="s">
        <v>320</v>
      </c>
    </row>
    <row r="197" spans="1:10" x14ac:dyDescent="0.2">
      <c r="A197" s="68">
        <v>46020</v>
      </c>
      <c r="B197" s="68">
        <v>46020</v>
      </c>
      <c r="C197" s="69" t="s">
        <v>387</v>
      </c>
      <c r="D197" s="70" t="s">
        <v>217</v>
      </c>
      <c r="E197" s="70" t="s">
        <v>218</v>
      </c>
      <c r="F197" s="71">
        <v>62602.22</v>
      </c>
      <c r="G197" s="70" t="s">
        <v>219</v>
      </c>
      <c r="H197" s="70" t="s">
        <v>388</v>
      </c>
      <c r="I197" s="70" t="s">
        <v>214</v>
      </c>
      <c r="J197" s="69" t="s">
        <v>272</v>
      </c>
    </row>
    <row r="198" spans="1:10" x14ac:dyDescent="0.2">
      <c r="A198" s="68">
        <v>46020</v>
      </c>
      <c r="B198" s="68">
        <v>46020</v>
      </c>
      <c r="C198" s="69" t="s">
        <v>510</v>
      </c>
      <c r="D198" s="70" t="s">
        <v>224</v>
      </c>
      <c r="E198" s="70" t="s">
        <v>327</v>
      </c>
      <c r="F198" s="71">
        <v>-141119.82</v>
      </c>
      <c r="G198" s="70" t="s">
        <v>212</v>
      </c>
      <c r="H198" s="70" t="s">
        <v>511</v>
      </c>
      <c r="I198" s="70" t="s">
        <v>214</v>
      </c>
      <c r="J198" s="69" t="s">
        <v>306</v>
      </c>
    </row>
    <row r="199" spans="1:10" x14ac:dyDescent="0.2">
      <c r="A199" s="1">
        <v>46021</v>
      </c>
      <c r="B199" s="1">
        <v>45991</v>
      </c>
      <c r="C199" s="2" t="s">
        <v>512</v>
      </c>
      <c r="D199" s="3" t="s">
        <v>280</v>
      </c>
      <c r="E199" s="3" t="s">
        <v>211</v>
      </c>
      <c r="F199" s="4">
        <v>-241566.82</v>
      </c>
      <c r="G199" s="3" t="s">
        <v>212</v>
      </c>
      <c r="H199" s="3"/>
      <c r="I199" s="3" t="s">
        <v>239</v>
      </c>
      <c r="J199" s="2" t="s">
        <v>248</v>
      </c>
    </row>
    <row r="200" spans="1:10" x14ac:dyDescent="0.2">
      <c r="A200" s="10">
        <v>46021</v>
      </c>
      <c r="B200" s="10">
        <v>46021</v>
      </c>
      <c r="C200" s="11" t="s">
        <v>270</v>
      </c>
      <c r="D200" s="12" t="s">
        <v>217</v>
      </c>
      <c r="E200" s="12" t="s">
        <v>237</v>
      </c>
      <c r="F200" s="13">
        <v>238613.07</v>
      </c>
      <c r="G200" s="12" t="s">
        <v>219</v>
      </c>
      <c r="H200" s="12" t="s">
        <v>496</v>
      </c>
      <c r="I200" s="12" t="s">
        <v>227</v>
      </c>
      <c r="J200" s="11" t="s">
        <v>272</v>
      </c>
    </row>
    <row r="201" spans="1:10" x14ac:dyDescent="0.2">
      <c r="A201" s="1">
        <v>46021</v>
      </c>
      <c r="B201" s="1">
        <v>45961</v>
      </c>
      <c r="C201" s="2" t="s">
        <v>456</v>
      </c>
      <c r="D201" s="3" t="s">
        <v>210</v>
      </c>
      <c r="E201" s="3" t="s">
        <v>264</v>
      </c>
      <c r="F201" s="4">
        <v>-218058.84</v>
      </c>
      <c r="G201" s="3" t="s">
        <v>212</v>
      </c>
      <c r="H201" s="3"/>
      <c r="I201" s="3" t="s">
        <v>239</v>
      </c>
      <c r="J201" s="2" t="s">
        <v>215</v>
      </c>
    </row>
    <row r="202" spans="1:10" x14ac:dyDescent="0.2">
      <c r="A202" s="10">
        <v>46022</v>
      </c>
      <c r="B202" s="10">
        <v>46022</v>
      </c>
      <c r="C202" s="11" t="s">
        <v>318</v>
      </c>
      <c r="D202" s="12" t="s">
        <v>217</v>
      </c>
      <c r="E202" s="12" t="s">
        <v>218</v>
      </c>
      <c r="F202" s="13">
        <v>159259.73000000001</v>
      </c>
      <c r="G202" s="12" t="s">
        <v>219</v>
      </c>
      <c r="H202" s="12" t="s">
        <v>354</v>
      </c>
      <c r="I202" s="12" t="s">
        <v>239</v>
      </c>
      <c r="J202" s="11" t="s">
        <v>320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J19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0" customWidth="1"/>
    <col min="2" max="2" width="14.1640625" customWidth="1"/>
    <col min="3" max="3" width="20.83203125" customWidth="1"/>
    <col min="4" max="6" width="19.1640625" customWidth="1"/>
    <col min="7" max="7" width="14.1640625" customWidth="1"/>
    <col min="8" max="10" width="16.6640625" customWidth="1"/>
  </cols>
  <sheetData>
    <row r="1" spans="1:10" ht="32" customHeight="1" x14ac:dyDescent="0.2">
      <c r="A1" s="79" t="s">
        <v>625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ht="26" customHeight="1" x14ac:dyDescent="0.2">
      <c r="A2" s="83" t="s">
        <v>513</v>
      </c>
      <c r="B2" s="82"/>
      <c r="C2" s="82"/>
      <c r="D2" s="82"/>
      <c r="E2" s="82"/>
      <c r="F2" s="82"/>
      <c r="G2" s="82"/>
      <c r="H2" s="82"/>
      <c r="I2" s="82"/>
      <c r="J2" s="82"/>
    </row>
    <row r="3" spans="1:10" ht="28" customHeight="1" thickBot="1" x14ac:dyDescent="0.25">
      <c r="A3" s="78" t="s">
        <v>514</v>
      </c>
      <c r="B3" s="78" t="s">
        <v>515</v>
      </c>
      <c r="C3" s="78" t="s">
        <v>516</v>
      </c>
      <c r="D3" s="78" t="s">
        <v>517</v>
      </c>
      <c r="E3" s="78" t="s">
        <v>518</v>
      </c>
      <c r="F3" s="78" t="s">
        <v>519</v>
      </c>
      <c r="G3" s="78" t="s">
        <v>520</v>
      </c>
      <c r="H3" s="78" t="s">
        <v>521</v>
      </c>
      <c r="I3" s="78" t="s">
        <v>522</v>
      </c>
      <c r="J3" s="78" t="s">
        <v>523</v>
      </c>
    </row>
    <row r="4" spans="1:10" x14ac:dyDescent="0.2">
      <c r="A4" s="16" t="s">
        <v>235</v>
      </c>
      <c r="B4" s="28" t="s">
        <v>524</v>
      </c>
      <c r="C4" s="29">
        <v>45000</v>
      </c>
      <c r="D4" s="30">
        <v>45000</v>
      </c>
      <c r="E4" s="30">
        <v>45000</v>
      </c>
      <c r="F4" s="30">
        <v>45000</v>
      </c>
      <c r="G4" s="16" t="s">
        <v>525</v>
      </c>
      <c r="H4" s="16" t="s">
        <v>227</v>
      </c>
      <c r="I4" s="16" t="s">
        <v>227</v>
      </c>
      <c r="J4" s="16" t="s">
        <v>227</v>
      </c>
    </row>
    <row r="5" spans="1:10" x14ac:dyDescent="0.2">
      <c r="A5" s="12" t="s">
        <v>240</v>
      </c>
      <c r="B5" s="18" t="s">
        <v>524</v>
      </c>
      <c r="C5" s="19">
        <v>38000</v>
      </c>
      <c r="D5" s="20">
        <v>38000</v>
      </c>
      <c r="E5" s="20">
        <v>38000</v>
      </c>
      <c r="F5" s="20">
        <v>0</v>
      </c>
      <c r="G5" s="72" t="s">
        <v>526</v>
      </c>
      <c r="H5" s="12" t="s">
        <v>527</v>
      </c>
      <c r="I5" s="12" t="s">
        <v>528</v>
      </c>
      <c r="J5" s="12" t="s">
        <v>529</v>
      </c>
    </row>
    <row r="6" spans="1:10" x14ac:dyDescent="0.2">
      <c r="A6" s="3" t="s">
        <v>285</v>
      </c>
      <c r="B6" s="5" t="s">
        <v>530</v>
      </c>
      <c r="C6" s="6">
        <v>22000</v>
      </c>
      <c r="D6" s="7">
        <v>22000</v>
      </c>
      <c r="E6" s="7">
        <v>22000</v>
      </c>
      <c r="F6" s="7">
        <v>22000</v>
      </c>
      <c r="G6" s="3" t="s">
        <v>525</v>
      </c>
      <c r="H6" s="3" t="s">
        <v>527</v>
      </c>
      <c r="I6" s="3" t="s">
        <v>227</v>
      </c>
      <c r="J6" s="3" t="s">
        <v>528</v>
      </c>
    </row>
    <row r="7" spans="1:10" x14ac:dyDescent="0.2">
      <c r="A7" s="12" t="s">
        <v>278</v>
      </c>
      <c r="B7" s="18" t="s">
        <v>530</v>
      </c>
      <c r="C7" s="19">
        <v>18000</v>
      </c>
      <c r="D7" s="20">
        <v>18000</v>
      </c>
      <c r="E7" s="20">
        <v>15000</v>
      </c>
      <c r="F7" s="20">
        <v>15000</v>
      </c>
      <c r="G7" s="72" t="s">
        <v>531</v>
      </c>
      <c r="H7" s="12" t="s">
        <v>527</v>
      </c>
      <c r="I7" s="12" t="s">
        <v>527</v>
      </c>
      <c r="J7" s="12" t="s">
        <v>227</v>
      </c>
    </row>
    <row r="8" spans="1:10" x14ac:dyDescent="0.2">
      <c r="A8" s="3" t="s">
        <v>303</v>
      </c>
      <c r="B8" s="5" t="s">
        <v>524</v>
      </c>
      <c r="C8" s="6">
        <v>55000</v>
      </c>
      <c r="D8" s="7">
        <v>55000</v>
      </c>
      <c r="E8" s="7">
        <v>55000</v>
      </c>
      <c r="F8" s="7">
        <v>55000</v>
      </c>
      <c r="G8" s="3" t="s">
        <v>525</v>
      </c>
      <c r="H8" s="3" t="s">
        <v>527</v>
      </c>
      <c r="I8" s="3" t="s">
        <v>527</v>
      </c>
      <c r="J8" s="3" t="s">
        <v>527</v>
      </c>
    </row>
    <row r="9" spans="1:10" x14ac:dyDescent="0.2">
      <c r="A9" s="12" t="s">
        <v>272</v>
      </c>
      <c r="B9" s="18" t="s">
        <v>530</v>
      </c>
      <c r="C9" s="19">
        <v>28000</v>
      </c>
      <c r="D9" s="20">
        <v>28000</v>
      </c>
      <c r="E9" s="20">
        <v>28000</v>
      </c>
      <c r="F9" s="20">
        <v>28000</v>
      </c>
      <c r="G9" s="12" t="s">
        <v>532</v>
      </c>
      <c r="H9" s="12" t="s">
        <v>527</v>
      </c>
      <c r="I9" s="12" t="s">
        <v>527</v>
      </c>
      <c r="J9" s="12" t="s">
        <v>527</v>
      </c>
    </row>
    <row r="10" spans="1:10" x14ac:dyDescent="0.2">
      <c r="A10" s="3" t="s">
        <v>350</v>
      </c>
      <c r="B10" s="5" t="s">
        <v>533</v>
      </c>
      <c r="C10" s="6">
        <v>8000</v>
      </c>
      <c r="D10" s="7">
        <v>8000</v>
      </c>
      <c r="E10" s="7">
        <v>8000</v>
      </c>
      <c r="F10" s="7">
        <v>8000</v>
      </c>
      <c r="G10" s="3" t="s">
        <v>525</v>
      </c>
      <c r="H10" s="3" t="s">
        <v>527</v>
      </c>
      <c r="I10" s="3" t="s">
        <v>527</v>
      </c>
      <c r="J10" s="3" t="s">
        <v>527</v>
      </c>
    </row>
    <row r="11" spans="1:10" x14ac:dyDescent="0.2">
      <c r="A11" s="12" t="s">
        <v>320</v>
      </c>
      <c r="B11" s="18" t="s">
        <v>530</v>
      </c>
      <c r="C11" s="19">
        <v>15000</v>
      </c>
      <c r="D11" s="20">
        <v>15000</v>
      </c>
      <c r="E11" s="20">
        <v>15000</v>
      </c>
      <c r="F11" s="20">
        <v>15000</v>
      </c>
      <c r="G11" s="12" t="s">
        <v>525</v>
      </c>
      <c r="H11" s="12" t="s">
        <v>527</v>
      </c>
      <c r="I11" s="12" t="s">
        <v>227</v>
      </c>
      <c r="J11" s="12" t="s">
        <v>527</v>
      </c>
    </row>
    <row r="12" spans="1:10" x14ac:dyDescent="0.2">
      <c r="A12" s="3" t="s">
        <v>222</v>
      </c>
      <c r="B12" s="5" t="s">
        <v>524</v>
      </c>
      <c r="C12" s="6">
        <v>42000</v>
      </c>
      <c r="D12" s="7">
        <v>42000</v>
      </c>
      <c r="E12" s="7">
        <v>42000</v>
      </c>
      <c r="F12" s="7">
        <v>42000</v>
      </c>
      <c r="G12" s="3" t="s">
        <v>525</v>
      </c>
      <c r="H12" s="3" t="s">
        <v>527</v>
      </c>
      <c r="I12" s="3" t="s">
        <v>528</v>
      </c>
      <c r="J12" s="3" t="s">
        <v>527</v>
      </c>
    </row>
    <row r="13" spans="1:10" x14ac:dyDescent="0.2">
      <c r="A13" s="12" t="s">
        <v>534</v>
      </c>
      <c r="B13" s="18" t="s">
        <v>533</v>
      </c>
      <c r="C13" s="19">
        <v>9500</v>
      </c>
      <c r="D13" s="20">
        <v>9500</v>
      </c>
      <c r="E13" s="20">
        <v>9500</v>
      </c>
      <c r="F13" s="20">
        <v>9500</v>
      </c>
      <c r="G13" s="12" t="s">
        <v>532</v>
      </c>
      <c r="H13" s="12" t="s">
        <v>527</v>
      </c>
      <c r="I13" s="12" t="s">
        <v>528</v>
      </c>
      <c r="J13" s="12" t="s">
        <v>528</v>
      </c>
    </row>
    <row r="14" spans="1:10" x14ac:dyDescent="0.2">
      <c r="A14" s="3" t="s">
        <v>535</v>
      </c>
      <c r="B14" s="5" t="s">
        <v>530</v>
      </c>
      <c r="C14" s="6">
        <v>19000</v>
      </c>
      <c r="D14" s="7">
        <v>0</v>
      </c>
      <c r="E14" s="7">
        <v>19000</v>
      </c>
      <c r="F14" s="7">
        <v>19000</v>
      </c>
      <c r="G14" s="3" t="s">
        <v>525</v>
      </c>
      <c r="H14" s="3" t="s">
        <v>227</v>
      </c>
      <c r="I14" s="3" t="s">
        <v>527</v>
      </c>
      <c r="J14" s="3" t="s">
        <v>227</v>
      </c>
    </row>
    <row r="15" spans="1:10" x14ac:dyDescent="0.2">
      <c r="A15" s="12" t="s">
        <v>536</v>
      </c>
      <c r="B15" s="18" t="s">
        <v>524</v>
      </c>
      <c r="C15" s="19">
        <v>60000</v>
      </c>
      <c r="D15" s="20">
        <v>60000</v>
      </c>
      <c r="E15" s="20">
        <v>60000</v>
      </c>
      <c r="F15" s="20">
        <v>60000</v>
      </c>
      <c r="G15" s="12" t="s">
        <v>525</v>
      </c>
      <c r="H15" s="12" t="s">
        <v>527</v>
      </c>
      <c r="I15" s="12" t="s">
        <v>528</v>
      </c>
      <c r="J15" s="12" t="s">
        <v>227</v>
      </c>
    </row>
    <row r="16" spans="1:10" x14ac:dyDescent="0.2">
      <c r="A16" s="3" t="s">
        <v>537</v>
      </c>
      <c r="B16" s="5" t="s">
        <v>530</v>
      </c>
      <c r="C16" s="6">
        <v>25000</v>
      </c>
      <c r="D16" s="7">
        <v>25000</v>
      </c>
      <c r="E16" s="7">
        <v>25000</v>
      </c>
      <c r="F16" s="7">
        <v>25000</v>
      </c>
      <c r="G16" s="3" t="s">
        <v>525</v>
      </c>
      <c r="H16" s="3" t="s">
        <v>527</v>
      </c>
      <c r="I16" s="3" t="s">
        <v>527</v>
      </c>
      <c r="J16" s="3" t="s">
        <v>527</v>
      </c>
    </row>
    <row r="17" spans="1:10" x14ac:dyDescent="0.2">
      <c r="A17" s="12" t="s">
        <v>538</v>
      </c>
      <c r="B17" s="18" t="s">
        <v>533</v>
      </c>
      <c r="C17" s="19">
        <v>7500</v>
      </c>
      <c r="D17" s="20">
        <v>7500</v>
      </c>
      <c r="E17" s="20">
        <v>7500</v>
      </c>
      <c r="F17" s="20">
        <v>7500</v>
      </c>
      <c r="G17" s="72" t="s">
        <v>531</v>
      </c>
      <c r="H17" s="12" t="s">
        <v>527</v>
      </c>
      <c r="I17" s="12" t="s">
        <v>527</v>
      </c>
      <c r="J17" s="12" t="s">
        <v>527</v>
      </c>
    </row>
    <row r="18" spans="1:10" ht="16" thickBot="1" x14ac:dyDescent="0.25">
      <c r="A18" s="21" t="s">
        <v>539</v>
      </c>
      <c r="B18" s="22" t="s">
        <v>524</v>
      </c>
      <c r="C18" s="23">
        <v>50000</v>
      </c>
      <c r="D18" s="24">
        <v>50000</v>
      </c>
      <c r="E18" s="24">
        <v>50000</v>
      </c>
      <c r="F18" s="24">
        <v>50000</v>
      </c>
      <c r="G18" s="21" t="s">
        <v>525</v>
      </c>
      <c r="H18" s="21" t="s">
        <v>227</v>
      </c>
      <c r="I18" s="21" t="s">
        <v>528</v>
      </c>
      <c r="J18" s="21" t="s">
        <v>528</v>
      </c>
    </row>
    <row r="19" spans="1:10" x14ac:dyDescent="0.2">
      <c r="A19" s="25" t="s">
        <v>540</v>
      </c>
      <c r="B19" s="26"/>
      <c r="C19" s="27">
        <f>SUM(C4:C18)</f>
        <v>442000</v>
      </c>
      <c r="D19" s="27">
        <f>SUM(D4:D18)</f>
        <v>423000</v>
      </c>
      <c r="E19" s="27">
        <f>SUM(E4:E18)</f>
        <v>439000</v>
      </c>
      <c r="F19" s="27">
        <f>SUM(F4:F18)</f>
        <v>401000</v>
      </c>
      <c r="G19" s="26"/>
      <c r="H19" s="26"/>
      <c r="I19" s="26"/>
      <c r="J19" s="2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</sheetPr>
  <dimension ref="A1:E41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41.6640625" customWidth="1"/>
    <col min="2" max="5" width="20" customWidth="1"/>
  </cols>
  <sheetData>
    <row r="1" spans="1:5" ht="32" customHeight="1" x14ac:dyDescent="0.2">
      <c r="A1" s="79" t="s">
        <v>625</v>
      </c>
      <c r="B1" s="80"/>
      <c r="C1" s="80"/>
      <c r="D1" s="80"/>
      <c r="E1" s="80"/>
    </row>
    <row r="2" spans="1:5" ht="26" customHeight="1" x14ac:dyDescent="0.2">
      <c r="A2" s="83" t="s">
        <v>626</v>
      </c>
      <c r="B2" s="82"/>
      <c r="C2" s="82"/>
      <c r="D2" s="82"/>
      <c r="E2" s="82"/>
    </row>
    <row r="3" spans="1:5" ht="28" customHeight="1" x14ac:dyDescent="0.2">
      <c r="A3" s="81"/>
      <c r="B3" s="81" t="s">
        <v>541</v>
      </c>
      <c r="C3" s="81" t="s">
        <v>542</v>
      </c>
      <c r="D3" s="81" t="s">
        <v>543</v>
      </c>
      <c r="E3" s="81" t="s">
        <v>544</v>
      </c>
    </row>
    <row r="4" spans="1:5" x14ac:dyDescent="0.2">
      <c r="A4" s="37" t="s">
        <v>545</v>
      </c>
      <c r="B4" s="38">
        <v>442000</v>
      </c>
      <c r="C4" s="38">
        <v>435500</v>
      </c>
      <c r="D4" s="38">
        <v>416500</v>
      </c>
      <c r="E4" s="39">
        <f>SUM(B4:D4)</f>
        <v>1294000</v>
      </c>
    </row>
    <row r="5" spans="1:5" x14ac:dyDescent="0.2">
      <c r="A5" s="15" t="s">
        <v>546</v>
      </c>
      <c r="B5" s="31">
        <v>-33150</v>
      </c>
      <c r="C5" s="31">
        <v>-32662</v>
      </c>
      <c r="D5" s="31">
        <v>-31237</v>
      </c>
      <c r="E5" s="32">
        <f>SUM(B5:D5)</f>
        <v>-97049</v>
      </c>
    </row>
    <row r="6" spans="1:5" x14ac:dyDescent="0.2">
      <c r="A6" s="2" t="s">
        <v>547</v>
      </c>
      <c r="B6" s="8">
        <v>-5000</v>
      </c>
      <c r="C6" s="8">
        <v>-3200</v>
      </c>
      <c r="D6" s="8">
        <v>-8500</v>
      </c>
      <c r="E6" s="9">
        <f>SUM(B6:D6)</f>
        <v>-16700</v>
      </c>
    </row>
    <row r="7" spans="1:5" x14ac:dyDescent="0.2">
      <c r="A7" s="33" t="s">
        <v>548</v>
      </c>
      <c r="B7" s="34">
        <f>B4+B5+B6</f>
        <v>403850</v>
      </c>
      <c r="C7" s="34">
        <f>C4+C5+C6</f>
        <v>399638</v>
      </c>
      <c r="D7" s="34">
        <f>D4+D5+D6</f>
        <v>376763</v>
      </c>
      <c r="E7" s="34">
        <f>SUM(B7:D7)</f>
        <v>1180251</v>
      </c>
    </row>
    <row r="8" spans="1:5" x14ac:dyDescent="0.2">
      <c r="A8" s="40"/>
    </row>
    <row r="9" spans="1:5" x14ac:dyDescent="0.2">
      <c r="A9" s="37" t="s">
        <v>549</v>
      </c>
      <c r="B9" s="41"/>
      <c r="C9" s="41"/>
      <c r="D9" s="41"/>
      <c r="E9" s="41"/>
    </row>
    <row r="10" spans="1:5" x14ac:dyDescent="0.2">
      <c r="A10" s="15" t="s">
        <v>550</v>
      </c>
      <c r="B10" s="31">
        <v>-78000</v>
      </c>
      <c r="C10" s="31">
        <v>-82000</v>
      </c>
      <c r="D10" s="31">
        <v>-95000</v>
      </c>
      <c r="E10" s="32">
        <f>SUM(B10:D10)</f>
        <v>-255000</v>
      </c>
    </row>
    <row r="11" spans="1:5" x14ac:dyDescent="0.2">
      <c r="A11" s="2" t="s">
        <v>551</v>
      </c>
      <c r="B11" s="8">
        <v>-35000</v>
      </c>
      <c r="C11" s="8">
        <v>-35000</v>
      </c>
      <c r="D11" s="8">
        <v>-35000</v>
      </c>
      <c r="E11" s="9">
        <f>SUM(B11:D11)</f>
        <v>-105000</v>
      </c>
    </row>
    <row r="12" spans="1:5" x14ac:dyDescent="0.2">
      <c r="A12" s="2" t="s">
        <v>552</v>
      </c>
      <c r="B12" s="8">
        <v>-12000</v>
      </c>
      <c r="C12" s="8">
        <v>-12000</v>
      </c>
      <c r="D12" s="8">
        <v>-14500</v>
      </c>
      <c r="E12" s="9">
        <f>SUM(B12:D12)</f>
        <v>-38500</v>
      </c>
    </row>
    <row r="13" spans="1:5" x14ac:dyDescent="0.2">
      <c r="A13" s="33" t="s">
        <v>553</v>
      </c>
      <c r="B13" s="34">
        <f>B7+B10+B11+B12</f>
        <v>278850</v>
      </c>
      <c r="C13" s="34">
        <f>C7+C10+C11+C12</f>
        <v>270638</v>
      </c>
      <c r="D13" s="34">
        <f>D7+D10+D11+D12</f>
        <v>232263</v>
      </c>
      <c r="E13" s="34">
        <f>SUM(B13:D13)</f>
        <v>781751</v>
      </c>
    </row>
    <row r="14" spans="1:5" x14ac:dyDescent="0.2">
      <c r="A14" s="35" t="s">
        <v>554</v>
      </c>
      <c r="B14" s="36">
        <f>IF(B7=0,0,B13/B7)</f>
        <v>0.69047913829392105</v>
      </c>
      <c r="C14" s="36">
        <f>IF(C7=0,0,C13/C7)</f>
        <v>0.67720787312517827</v>
      </c>
      <c r="D14" s="36">
        <f>IF(D7=0,0,D13/D7)</f>
        <v>0.616469770120739</v>
      </c>
      <c r="E14" s="36">
        <f>IF(E7=0,0,E13/E7)</f>
        <v>0.66235995563655525</v>
      </c>
    </row>
    <row r="15" spans="1:5" x14ac:dyDescent="0.2">
      <c r="A15" s="40"/>
    </row>
    <row r="16" spans="1:5" x14ac:dyDescent="0.2">
      <c r="A16" s="37" t="s">
        <v>555</v>
      </c>
      <c r="B16" s="41"/>
      <c r="C16" s="41"/>
      <c r="D16" s="41"/>
      <c r="E16" s="41"/>
    </row>
    <row r="17" spans="1:5" x14ac:dyDescent="0.2">
      <c r="A17" s="15" t="s">
        <v>556</v>
      </c>
      <c r="B17" s="31">
        <v>-185000</v>
      </c>
      <c r="C17" s="31">
        <v>-185000</v>
      </c>
      <c r="D17" s="31">
        <v>-195000</v>
      </c>
      <c r="E17" s="32">
        <f t="shared" ref="E17:E26" si="0">SUM(B17:D17)</f>
        <v>-565000</v>
      </c>
    </row>
    <row r="18" spans="1:5" x14ac:dyDescent="0.2">
      <c r="A18" s="2" t="s">
        <v>557</v>
      </c>
      <c r="B18" s="8">
        <v>-28000</v>
      </c>
      <c r="C18" s="8">
        <v>-28000</v>
      </c>
      <c r="D18" s="8">
        <v>-28000</v>
      </c>
      <c r="E18" s="9">
        <f t="shared" si="0"/>
        <v>-84000</v>
      </c>
    </row>
    <row r="19" spans="1:5" x14ac:dyDescent="0.2">
      <c r="A19" s="2" t="s">
        <v>558</v>
      </c>
      <c r="B19" s="8">
        <v>-22000</v>
      </c>
      <c r="C19" s="8">
        <v>-18000</v>
      </c>
      <c r="D19" s="8">
        <v>-30000</v>
      </c>
      <c r="E19" s="9">
        <f t="shared" si="0"/>
        <v>-70000</v>
      </c>
    </row>
    <row r="20" spans="1:5" x14ac:dyDescent="0.2">
      <c r="A20" s="2" t="s">
        <v>559</v>
      </c>
      <c r="B20" s="8">
        <v>-15000</v>
      </c>
      <c r="C20" s="8">
        <v>-8000</v>
      </c>
      <c r="D20" s="8">
        <v>-25000</v>
      </c>
      <c r="E20" s="9">
        <f t="shared" si="0"/>
        <v>-48000</v>
      </c>
    </row>
    <row r="21" spans="1:5" x14ac:dyDescent="0.2">
      <c r="A21" s="2" t="s">
        <v>560</v>
      </c>
      <c r="B21" s="8">
        <v>-15000</v>
      </c>
      <c r="C21" s="8">
        <v>-15000</v>
      </c>
      <c r="D21" s="8">
        <v>-15000</v>
      </c>
      <c r="E21" s="9">
        <f t="shared" si="0"/>
        <v>-45000</v>
      </c>
    </row>
    <row r="22" spans="1:5" x14ac:dyDescent="0.2">
      <c r="A22" s="2" t="s">
        <v>561</v>
      </c>
      <c r="B22" s="8">
        <v>-8000</v>
      </c>
      <c r="C22" s="8">
        <v>-8000</v>
      </c>
      <c r="D22" s="8">
        <v>-12000</v>
      </c>
      <c r="E22" s="9">
        <f t="shared" si="0"/>
        <v>-28000</v>
      </c>
    </row>
    <row r="23" spans="1:5" x14ac:dyDescent="0.2">
      <c r="A23" s="2" t="s">
        <v>562</v>
      </c>
      <c r="B23" s="8">
        <v>-5000</v>
      </c>
      <c r="C23" s="8">
        <v>-7500</v>
      </c>
      <c r="D23" s="8">
        <v>-3000</v>
      </c>
      <c r="E23" s="9">
        <f t="shared" si="0"/>
        <v>-15500</v>
      </c>
    </row>
    <row r="24" spans="1:5" x14ac:dyDescent="0.2">
      <c r="A24" s="2" t="s">
        <v>563</v>
      </c>
      <c r="B24" s="8">
        <v>-18000</v>
      </c>
      <c r="C24" s="8">
        <v>-18000</v>
      </c>
      <c r="D24" s="8">
        <v>-18000</v>
      </c>
      <c r="E24" s="9">
        <f t="shared" si="0"/>
        <v>-54000</v>
      </c>
    </row>
    <row r="25" spans="1:5" x14ac:dyDescent="0.2">
      <c r="A25" s="2" t="s">
        <v>564</v>
      </c>
      <c r="B25" s="8">
        <v>-4000</v>
      </c>
      <c r="C25" s="8">
        <v>-6500</v>
      </c>
      <c r="D25" s="8">
        <v>-8000</v>
      </c>
      <c r="E25" s="9">
        <f t="shared" si="0"/>
        <v>-18500</v>
      </c>
    </row>
    <row r="26" spans="1:5" x14ac:dyDescent="0.2">
      <c r="A26" s="33" t="s">
        <v>565</v>
      </c>
      <c r="B26" s="34">
        <f>SUM(B17:B25)</f>
        <v>-300000</v>
      </c>
      <c r="C26" s="34">
        <f>SUM(C17:C25)</f>
        <v>-294000</v>
      </c>
      <c r="D26" s="34">
        <f>SUM(D17:D25)</f>
        <v>-334000</v>
      </c>
      <c r="E26" s="34">
        <f t="shared" si="0"/>
        <v>-928000</v>
      </c>
    </row>
    <row r="27" spans="1:5" x14ac:dyDescent="0.2">
      <c r="A27" s="40"/>
    </row>
    <row r="28" spans="1:5" x14ac:dyDescent="0.2">
      <c r="A28" s="44" t="s">
        <v>566</v>
      </c>
      <c r="B28" s="45">
        <f>B13+B26</f>
        <v>-21150</v>
      </c>
      <c r="C28" s="45">
        <f>C13+C26</f>
        <v>-23362</v>
      </c>
      <c r="D28" s="45">
        <f>D13+D26</f>
        <v>-101737</v>
      </c>
      <c r="E28" s="45">
        <f>SUM(B28:D28)</f>
        <v>-146249</v>
      </c>
    </row>
    <row r="29" spans="1:5" x14ac:dyDescent="0.2">
      <c r="A29" s="42" t="s">
        <v>567</v>
      </c>
      <c r="B29" s="43">
        <f>IF(B7=0,0,B28/B7)</f>
        <v>-5.2370929800668563E-2</v>
      </c>
      <c r="C29" s="43">
        <f>IF(C7=0,0,C28/C7)</f>
        <v>-5.8457904403485153E-2</v>
      </c>
      <c r="D29" s="43">
        <f>IF(D7=0,0,D28/D7)</f>
        <v>-0.27002916953097839</v>
      </c>
      <c r="E29" s="43">
        <f>IF(E7=0,0,E28/E7)</f>
        <v>-0.12391347264268364</v>
      </c>
    </row>
    <row r="30" spans="1:5" x14ac:dyDescent="0.2">
      <c r="A30" s="40"/>
    </row>
    <row r="31" spans="1:5" x14ac:dyDescent="0.2">
      <c r="A31" s="37" t="s">
        <v>568</v>
      </c>
      <c r="B31" s="38">
        <v>-3000</v>
      </c>
      <c r="C31" s="38">
        <v>-3000</v>
      </c>
      <c r="D31" s="38">
        <v>-3000</v>
      </c>
      <c r="E31" s="39">
        <f>SUM(B31:D31)</f>
        <v>-9000</v>
      </c>
    </row>
    <row r="32" spans="1:5" x14ac:dyDescent="0.2">
      <c r="A32" s="46" t="s">
        <v>569</v>
      </c>
      <c r="B32" s="47">
        <f>B28+B31</f>
        <v>-24150</v>
      </c>
      <c r="C32" s="47">
        <f>C28+C31</f>
        <v>-26362</v>
      </c>
      <c r="D32" s="47">
        <f>D28+D31</f>
        <v>-104737</v>
      </c>
      <c r="E32" s="47">
        <f>SUM(B32:D32)</f>
        <v>-155249</v>
      </c>
    </row>
    <row r="33" spans="1:5" x14ac:dyDescent="0.2">
      <c r="A33" s="40"/>
    </row>
    <row r="34" spans="1:5" x14ac:dyDescent="0.2">
      <c r="A34" s="37" t="s">
        <v>570</v>
      </c>
      <c r="B34" s="38">
        <v>2500</v>
      </c>
      <c r="C34" s="38">
        <v>3200</v>
      </c>
      <c r="D34" s="38">
        <v>2800</v>
      </c>
      <c r="E34" s="39">
        <f>SUM(B34:D34)</f>
        <v>8500</v>
      </c>
    </row>
    <row r="35" spans="1:5" x14ac:dyDescent="0.2">
      <c r="A35" s="15" t="s">
        <v>571</v>
      </c>
      <c r="B35" s="31">
        <v>-1500</v>
      </c>
      <c r="C35" s="31">
        <v>-1800</v>
      </c>
      <c r="D35" s="31">
        <v>-2200</v>
      </c>
      <c r="E35" s="32">
        <f>SUM(B35:D35)</f>
        <v>-5500</v>
      </c>
    </row>
    <row r="36" spans="1:5" x14ac:dyDescent="0.2">
      <c r="A36" s="33" t="s">
        <v>572</v>
      </c>
      <c r="B36" s="34">
        <f>B34+B35</f>
        <v>1000</v>
      </c>
      <c r="C36" s="34">
        <f>C34+C35</f>
        <v>1400</v>
      </c>
      <c r="D36" s="34">
        <f>D34+D35</f>
        <v>600</v>
      </c>
      <c r="E36" s="34">
        <f>SUM(B36:D36)</f>
        <v>3000</v>
      </c>
    </row>
    <row r="37" spans="1:5" x14ac:dyDescent="0.2">
      <c r="A37" s="40"/>
    </row>
    <row r="38" spans="1:5" x14ac:dyDescent="0.2">
      <c r="A38" s="44" t="s">
        <v>573</v>
      </c>
      <c r="B38" s="45">
        <f>B32+B36</f>
        <v>-23150</v>
      </c>
      <c r="C38" s="45">
        <f>C32+C36</f>
        <v>-24962</v>
      </c>
      <c r="D38" s="45">
        <f>D32+D36</f>
        <v>-104137</v>
      </c>
      <c r="E38" s="45">
        <f>SUM(B38:D38)</f>
        <v>-152249</v>
      </c>
    </row>
    <row r="39" spans="1:5" x14ac:dyDescent="0.2">
      <c r="A39" s="15" t="s">
        <v>574</v>
      </c>
      <c r="B39" s="31">
        <v>0</v>
      </c>
      <c r="C39" s="31">
        <v>0</v>
      </c>
      <c r="D39" s="31">
        <v>0</v>
      </c>
      <c r="E39" s="32">
        <f>SUM(B39:D39)</f>
        <v>0</v>
      </c>
    </row>
    <row r="40" spans="1:5" x14ac:dyDescent="0.2">
      <c r="A40" s="48" t="s">
        <v>575</v>
      </c>
      <c r="B40" s="49">
        <f>B38+B39</f>
        <v>-23150</v>
      </c>
      <c r="C40" s="49">
        <f>C38+C39</f>
        <v>-24962</v>
      </c>
      <c r="D40" s="49">
        <f>D38+D39</f>
        <v>-104137</v>
      </c>
      <c r="E40" s="49">
        <f>SUM(B40:D40)</f>
        <v>-152249</v>
      </c>
    </row>
    <row r="41" spans="1:5" ht="16" thickBot="1" x14ac:dyDescent="0.25">
      <c r="A41" s="50" t="s">
        <v>576</v>
      </c>
      <c r="B41" s="51">
        <f>IF(B7=0,0,B40/B7)</f>
        <v>-5.7323263587965828E-2</v>
      </c>
      <c r="C41" s="51">
        <f>IF(C7=0,0,C40/C7)</f>
        <v>-6.2461527682552712E-2</v>
      </c>
      <c r="D41" s="51">
        <f>IF(D7=0,0,D40/D7)</f>
        <v>-0.27639922179194876</v>
      </c>
      <c r="E41" s="51">
        <f>IF(E7=0,0,E40/E7)</f>
        <v>-0.12899713704966148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I19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8.33203125" customWidth="1"/>
    <col min="2" max="2" width="21.6640625" customWidth="1"/>
    <col min="3" max="3" width="37.5" customWidth="1"/>
    <col min="4" max="4" width="16.6640625" customWidth="1"/>
    <col min="5" max="5" width="15" customWidth="1"/>
    <col min="6" max="6" width="13.33203125" customWidth="1"/>
    <col min="7" max="7" width="15.83203125" customWidth="1"/>
    <col min="8" max="8" width="16.6640625" customWidth="1"/>
    <col min="9" max="9" width="46.6640625" customWidth="1"/>
  </cols>
  <sheetData>
    <row r="1" spans="1:9" ht="32" customHeight="1" x14ac:dyDescent="0.2">
      <c r="A1" s="79" t="s">
        <v>625</v>
      </c>
      <c r="B1" s="80"/>
      <c r="C1" s="80"/>
      <c r="D1" s="80"/>
      <c r="E1" s="80"/>
      <c r="F1" s="80"/>
      <c r="G1" s="80"/>
      <c r="H1" s="80"/>
      <c r="I1" s="80"/>
    </row>
    <row r="2" spans="1:9" ht="26" customHeight="1" x14ac:dyDescent="0.2">
      <c r="A2" s="83" t="s">
        <v>627</v>
      </c>
      <c r="B2" s="82"/>
      <c r="C2" s="82"/>
      <c r="D2" s="82"/>
      <c r="E2" s="82"/>
      <c r="F2" s="82"/>
      <c r="G2" s="82"/>
      <c r="H2" s="82"/>
      <c r="I2" s="82"/>
    </row>
    <row r="3" spans="1:9" ht="28" customHeight="1" thickBot="1" x14ac:dyDescent="0.25">
      <c r="A3" s="78" t="s">
        <v>2</v>
      </c>
      <c r="B3" s="78" t="s">
        <v>208</v>
      </c>
      <c r="C3" s="78" t="s">
        <v>1</v>
      </c>
      <c r="D3" s="78" t="s">
        <v>3</v>
      </c>
      <c r="E3" s="78" t="s">
        <v>577</v>
      </c>
      <c r="F3" s="78" t="s">
        <v>207</v>
      </c>
      <c r="G3" s="78" t="s">
        <v>578</v>
      </c>
      <c r="H3" s="78" t="s">
        <v>204</v>
      </c>
      <c r="I3" s="78" t="s">
        <v>579</v>
      </c>
    </row>
    <row r="4" spans="1:9" x14ac:dyDescent="0.2">
      <c r="A4" s="16" t="s">
        <v>580</v>
      </c>
      <c r="B4" s="16" t="s">
        <v>240</v>
      </c>
      <c r="C4" s="15" t="s">
        <v>581</v>
      </c>
      <c r="D4" s="30">
        <v>38000</v>
      </c>
      <c r="E4" s="14">
        <v>45976</v>
      </c>
      <c r="F4" s="73" t="s">
        <v>582</v>
      </c>
      <c r="G4" s="16">
        <v>46</v>
      </c>
      <c r="H4" s="16" t="s">
        <v>217</v>
      </c>
      <c r="I4" s="15" t="s">
        <v>583</v>
      </c>
    </row>
    <row r="5" spans="1:9" x14ac:dyDescent="0.2">
      <c r="A5" s="12" t="s">
        <v>580</v>
      </c>
      <c r="B5" s="12" t="s">
        <v>278</v>
      </c>
      <c r="C5" s="11" t="s">
        <v>584</v>
      </c>
      <c r="D5" s="20">
        <v>18000</v>
      </c>
      <c r="E5" s="10">
        <v>45950</v>
      </c>
      <c r="F5" s="72" t="s">
        <v>582</v>
      </c>
      <c r="G5" s="12">
        <v>72</v>
      </c>
      <c r="H5" s="12" t="s">
        <v>217</v>
      </c>
      <c r="I5" s="11" t="s">
        <v>585</v>
      </c>
    </row>
    <row r="6" spans="1:9" x14ac:dyDescent="0.2">
      <c r="A6" s="3" t="s">
        <v>580</v>
      </c>
      <c r="B6" s="3" t="s">
        <v>535</v>
      </c>
      <c r="C6" s="2" t="s">
        <v>586</v>
      </c>
      <c r="D6" s="7">
        <v>19000</v>
      </c>
      <c r="E6" s="1">
        <v>45955</v>
      </c>
      <c r="F6" s="74" t="s">
        <v>582</v>
      </c>
      <c r="G6" s="3">
        <v>67</v>
      </c>
      <c r="H6" s="3" t="s">
        <v>217</v>
      </c>
      <c r="I6" s="2" t="s">
        <v>587</v>
      </c>
    </row>
    <row r="7" spans="1:9" x14ac:dyDescent="0.2">
      <c r="A7" s="12" t="s">
        <v>580</v>
      </c>
      <c r="B7" s="12" t="s">
        <v>235</v>
      </c>
      <c r="C7" s="11" t="s">
        <v>588</v>
      </c>
      <c r="D7" s="20">
        <v>45000</v>
      </c>
      <c r="E7" s="10">
        <v>46032</v>
      </c>
      <c r="F7" s="12" t="s">
        <v>589</v>
      </c>
      <c r="G7" s="12">
        <v>0</v>
      </c>
      <c r="H7" s="12" t="s">
        <v>217</v>
      </c>
      <c r="I7" s="11"/>
    </row>
    <row r="8" spans="1:9" x14ac:dyDescent="0.2">
      <c r="A8" s="3" t="s">
        <v>580</v>
      </c>
      <c r="B8" s="3" t="s">
        <v>303</v>
      </c>
      <c r="C8" s="2" t="s">
        <v>590</v>
      </c>
      <c r="D8" s="7">
        <v>55000</v>
      </c>
      <c r="E8" s="1">
        <v>46032</v>
      </c>
      <c r="F8" s="3" t="s">
        <v>589</v>
      </c>
      <c r="G8" s="3">
        <v>0</v>
      </c>
      <c r="H8" s="3" t="s">
        <v>217</v>
      </c>
      <c r="I8" s="2"/>
    </row>
    <row r="9" spans="1:9" x14ac:dyDescent="0.2">
      <c r="A9" s="12" t="s">
        <v>580</v>
      </c>
      <c r="B9" s="12" t="s">
        <v>538</v>
      </c>
      <c r="C9" s="11" t="s">
        <v>591</v>
      </c>
      <c r="D9" s="20">
        <v>7500</v>
      </c>
      <c r="E9" s="10">
        <v>45996</v>
      </c>
      <c r="F9" s="72" t="s">
        <v>582</v>
      </c>
      <c r="G9" s="12">
        <v>26</v>
      </c>
      <c r="H9" s="12" t="s">
        <v>217</v>
      </c>
      <c r="I9" s="11" t="s">
        <v>592</v>
      </c>
    </row>
    <row r="10" spans="1:9" ht="16" thickBot="1" x14ac:dyDescent="0.25">
      <c r="A10" s="21" t="s">
        <v>580</v>
      </c>
      <c r="B10" s="21" t="s">
        <v>285</v>
      </c>
      <c r="C10" s="40" t="s">
        <v>593</v>
      </c>
      <c r="D10" s="24">
        <v>15000</v>
      </c>
      <c r="E10" s="52">
        <v>45991</v>
      </c>
      <c r="F10" s="75" t="s">
        <v>582</v>
      </c>
      <c r="G10" s="21">
        <v>31</v>
      </c>
      <c r="H10" s="21" t="s">
        <v>217</v>
      </c>
      <c r="I10" s="40" t="s">
        <v>594</v>
      </c>
    </row>
    <row r="11" spans="1:9" x14ac:dyDescent="0.2">
      <c r="A11" s="53" t="s">
        <v>595</v>
      </c>
      <c r="B11" s="53" t="s">
        <v>306</v>
      </c>
      <c r="C11" s="54" t="s">
        <v>596</v>
      </c>
      <c r="D11" s="55">
        <v>95000</v>
      </c>
      <c r="E11" s="56">
        <v>46027</v>
      </c>
      <c r="F11" s="53" t="s">
        <v>589</v>
      </c>
      <c r="G11" s="53">
        <v>0</v>
      </c>
      <c r="H11" s="53" t="s">
        <v>210</v>
      </c>
      <c r="I11" s="54" t="s">
        <v>597</v>
      </c>
    </row>
    <row r="12" spans="1:9" x14ac:dyDescent="0.2">
      <c r="A12" s="57" t="s">
        <v>595</v>
      </c>
      <c r="B12" s="57" t="s">
        <v>248</v>
      </c>
      <c r="C12" s="58" t="s">
        <v>598</v>
      </c>
      <c r="D12" s="59">
        <v>32000</v>
      </c>
      <c r="E12" s="60">
        <v>46032</v>
      </c>
      <c r="F12" s="57" t="s">
        <v>589</v>
      </c>
      <c r="G12" s="57">
        <v>0</v>
      </c>
      <c r="H12" s="57" t="s">
        <v>210</v>
      </c>
      <c r="I12" s="58"/>
    </row>
    <row r="13" spans="1:9" x14ac:dyDescent="0.2">
      <c r="A13" s="12" t="s">
        <v>595</v>
      </c>
      <c r="B13" s="12" t="s">
        <v>311</v>
      </c>
      <c r="C13" s="11" t="s">
        <v>599</v>
      </c>
      <c r="D13" s="20">
        <v>15000</v>
      </c>
      <c r="E13" s="10">
        <v>46027</v>
      </c>
      <c r="F13" s="12" t="s">
        <v>589</v>
      </c>
      <c r="G13" s="12">
        <v>0</v>
      </c>
      <c r="H13" s="12" t="s">
        <v>299</v>
      </c>
      <c r="I13" s="11"/>
    </row>
    <row r="14" spans="1:9" x14ac:dyDescent="0.2">
      <c r="A14" s="12" t="s">
        <v>595</v>
      </c>
      <c r="B14" s="12" t="s">
        <v>357</v>
      </c>
      <c r="C14" s="11" t="s">
        <v>600</v>
      </c>
      <c r="D14" s="20">
        <v>28000</v>
      </c>
      <c r="E14" s="10">
        <v>46032</v>
      </c>
      <c r="F14" s="12" t="s">
        <v>589</v>
      </c>
      <c r="G14" s="12">
        <v>0</v>
      </c>
      <c r="H14" s="12" t="s">
        <v>255</v>
      </c>
      <c r="I14" s="11"/>
    </row>
    <row r="15" spans="1:9" x14ac:dyDescent="0.2">
      <c r="A15" s="12" t="s">
        <v>595</v>
      </c>
      <c r="B15" s="12" t="s">
        <v>262</v>
      </c>
      <c r="C15" s="11" t="s">
        <v>601</v>
      </c>
      <c r="D15" s="20">
        <v>18000</v>
      </c>
      <c r="E15" s="10">
        <v>46006</v>
      </c>
      <c r="F15" s="72" t="s">
        <v>582</v>
      </c>
      <c r="G15" s="12">
        <v>16</v>
      </c>
      <c r="H15" s="12" t="s">
        <v>280</v>
      </c>
      <c r="I15" s="11" t="s">
        <v>602</v>
      </c>
    </row>
    <row r="16" spans="1:9" x14ac:dyDescent="0.2">
      <c r="A16" s="12" t="s">
        <v>595</v>
      </c>
      <c r="B16" s="12" t="s">
        <v>314</v>
      </c>
      <c r="C16" s="11" t="s">
        <v>603</v>
      </c>
      <c r="D16" s="20">
        <v>12000</v>
      </c>
      <c r="E16" s="10">
        <v>45991</v>
      </c>
      <c r="F16" s="72" t="s">
        <v>582</v>
      </c>
      <c r="G16" s="12">
        <v>31</v>
      </c>
      <c r="H16" s="12" t="s">
        <v>267</v>
      </c>
      <c r="I16" s="11" t="s">
        <v>604</v>
      </c>
    </row>
    <row r="17" spans="1:9" x14ac:dyDescent="0.2">
      <c r="A17" s="12" t="s">
        <v>595</v>
      </c>
      <c r="B17" s="12" t="s">
        <v>282</v>
      </c>
      <c r="C17" s="11" t="s">
        <v>605</v>
      </c>
      <c r="D17" s="20">
        <v>36000</v>
      </c>
      <c r="E17" s="10">
        <v>46011</v>
      </c>
      <c r="F17" s="72" t="s">
        <v>582</v>
      </c>
      <c r="G17" s="12">
        <v>11</v>
      </c>
      <c r="H17" s="12" t="s">
        <v>299</v>
      </c>
      <c r="I17" s="11" t="s">
        <v>606</v>
      </c>
    </row>
    <row r="18" spans="1:9" x14ac:dyDescent="0.2">
      <c r="A18" s="12" t="s">
        <v>595</v>
      </c>
      <c r="B18" s="12" t="s">
        <v>607</v>
      </c>
      <c r="C18" s="11" t="s">
        <v>608</v>
      </c>
      <c r="D18" s="20">
        <v>31237</v>
      </c>
      <c r="E18" s="10">
        <v>46042</v>
      </c>
      <c r="F18" s="12" t="s">
        <v>589</v>
      </c>
      <c r="G18" s="12">
        <v>0</v>
      </c>
      <c r="H18" s="12" t="s">
        <v>299</v>
      </c>
      <c r="I18" s="11"/>
    </row>
    <row r="19" spans="1:9" x14ac:dyDescent="0.2">
      <c r="A19" s="12" t="s">
        <v>595</v>
      </c>
      <c r="B19" s="12" t="s">
        <v>609</v>
      </c>
      <c r="C19" s="11" t="s">
        <v>610</v>
      </c>
      <c r="D19" s="20">
        <v>97500</v>
      </c>
      <c r="E19" s="10">
        <v>46011</v>
      </c>
      <c r="F19" s="12" t="s">
        <v>611</v>
      </c>
      <c r="G19" s="12">
        <v>0</v>
      </c>
      <c r="H19" s="12" t="s">
        <v>225</v>
      </c>
      <c r="I19" s="11" t="s">
        <v>612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9C95"/>
  </sheetPr>
  <dimension ref="A1:E17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38.33203125" customWidth="1"/>
    <col min="2" max="5" width="20" customWidth="1"/>
  </cols>
  <sheetData>
    <row r="1" spans="1:5" ht="32" customHeight="1" x14ac:dyDescent="0.2">
      <c r="A1" s="79" t="s">
        <v>625</v>
      </c>
      <c r="B1" s="80"/>
      <c r="C1" s="80"/>
      <c r="D1" s="80"/>
      <c r="E1" s="80"/>
    </row>
    <row r="2" spans="1:5" ht="26" customHeight="1" x14ac:dyDescent="0.2">
      <c r="A2" s="83" t="s">
        <v>628</v>
      </c>
      <c r="B2" s="82"/>
      <c r="C2" s="82"/>
      <c r="D2" s="82"/>
      <c r="E2" s="82"/>
    </row>
    <row r="3" spans="1:5" ht="28" customHeight="1" x14ac:dyDescent="0.2">
      <c r="A3" s="81"/>
      <c r="B3" s="81" t="s">
        <v>541</v>
      </c>
      <c r="C3" s="81" t="s">
        <v>542</v>
      </c>
      <c r="D3" s="81" t="s">
        <v>543</v>
      </c>
      <c r="E3" s="81" t="s">
        <v>613</v>
      </c>
    </row>
    <row r="4" spans="1:5" x14ac:dyDescent="0.2">
      <c r="A4" s="37" t="s">
        <v>614</v>
      </c>
      <c r="B4" s="38">
        <v>3200000</v>
      </c>
      <c r="C4" s="61">
        <f>B14</f>
        <v>3222500</v>
      </c>
      <c r="D4" s="61">
        <f>C14</f>
        <v>3235700</v>
      </c>
      <c r="E4" s="41"/>
    </row>
    <row r="5" spans="1:5" x14ac:dyDescent="0.2">
      <c r="A5" s="15" t="s">
        <v>615</v>
      </c>
      <c r="B5" s="31">
        <v>420000</v>
      </c>
      <c r="C5" s="31">
        <v>398000</v>
      </c>
      <c r="D5" s="31">
        <v>365000</v>
      </c>
      <c r="E5" s="32">
        <f>AVERAGE(B5:D5)</f>
        <v>394333.33333333331</v>
      </c>
    </row>
    <row r="6" spans="1:5" x14ac:dyDescent="0.2">
      <c r="A6" s="2" t="s">
        <v>616</v>
      </c>
      <c r="B6" s="8">
        <v>-395000</v>
      </c>
      <c r="C6" s="8">
        <v>-385000</v>
      </c>
      <c r="D6" s="8">
        <v>-430000</v>
      </c>
      <c r="E6" s="9">
        <f>AVERAGE(B6:D6)</f>
        <v>-403333.33333333331</v>
      </c>
    </row>
    <row r="7" spans="1:5" x14ac:dyDescent="0.2">
      <c r="A7" s="33" t="s">
        <v>617</v>
      </c>
      <c r="B7" s="34">
        <f>B5+B6</f>
        <v>25000</v>
      </c>
      <c r="C7" s="34">
        <f>C5+C6</f>
        <v>13000</v>
      </c>
      <c r="D7" s="34">
        <f>D5+D6</f>
        <v>-65000</v>
      </c>
      <c r="E7" s="34">
        <f>AVERAGE(B7:D7)</f>
        <v>-9000</v>
      </c>
    </row>
    <row r="8" spans="1:5" x14ac:dyDescent="0.2">
      <c r="A8" s="40"/>
    </row>
    <row r="9" spans="1:5" x14ac:dyDescent="0.2">
      <c r="A9" s="37" t="s">
        <v>618</v>
      </c>
      <c r="B9" s="38">
        <v>0</v>
      </c>
      <c r="C9" s="38">
        <v>0</v>
      </c>
      <c r="D9" s="38">
        <v>0</v>
      </c>
      <c r="E9" s="39">
        <f>AVERAGE(B9:D9)</f>
        <v>0</v>
      </c>
    </row>
    <row r="10" spans="1:5" x14ac:dyDescent="0.2">
      <c r="A10" s="15" t="s">
        <v>619</v>
      </c>
      <c r="B10" s="31">
        <v>2500</v>
      </c>
      <c r="C10" s="31">
        <v>3200</v>
      </c>
      <c r="D10" s="31">
        <v>2800</v>
      </c>
      <c r="E10" s="32">
        <f>AVERAGE(B10:D10)</f>
        <v>2833.3333333333335</v>
      </c>
    </row>
    <row r="11" spans="1:5" x14ac:dyDescent="0.2">
      <c r="A11" s="2" t="s">
        <v>620</v>
      </c>
      <c r="B11" s="8">
        <v>-5000</v>
      </c>
      <c r="C11" s="8">
        <v>-3000</v>
      </c>
      <c r="D11" s="8">
        <v>-8000</v>
      </c>
      <c r="E11" s="9">
        <f>AVERAGE(B11:D11)</f>
        <v>-5333.333333333333</v>
      </c>
    </row>
    <row r="12" spans="1:5" x14ac:dyDescent="0.2">
      <c r="A12" s="40"/>
    </row>
    <row r="13" spans="1:5" x14ac:dyDescent="0.2">
      <c r="A13" s="44" t="s">
        <v>621</v>
      </c>
      <c r="B13" s="45">
        <f>B7+B9+B10+B11</f>
        <v>22500</v>
      </c>
      <c r="C13" s="45">
        <f>C7+C9+C10+C11</f>
        <v>13200</v>
      </c>
      <c r="D13" s="45">
        <f>D7+D9+D10+D11</f>
        <v>-70200</v>
      </c>
      <c r="E13" s="45">
        <f>AVERAGE(B13:D13)</f>
        <v>-11500</v>
      </c>
    </row>
    <row r="14" spans="1:5" x14ac:dyDescent="0.2">
      <c r="A14" s="46" t="s">
        <v>622</v>
      </c>
      <c r="B14" s="47">
        <f>B4+B13</f>
        <v>3222500</v>
      </c>
      <c r="C14" s="47">
        <f>C4+C13</f>
        <v>3235700</v>
      </c>
      <c r="D14" s="47">
        <f>D4+D13</f>
        <v>3165500</v>
      </c>
      <c r="E14" s="47">
        <f>AVERAGE(B14:D14)</f>
        <v>3207900</v>
      </c>
    </row>
    <row r="15" spans="1:5" x14ac:dyDescent="0.2">
      <c r="A15" s="40"/>
    </row>
    <row r="16" spans="1:5" x14ac:dyDescent="0.2">
      <c r="A16" s="62" t="s">
        <v>623</v>
      </c>
      <c r="B16" s="76">
        <f>-B13</f>
        <v>-22500</v>
      </c>
      <c r="C16" s="76">
        <f>-C13</f>
        <v>-13200</v>
      </c>
      <c r="D16" s="76">
        <f>-D13</f>
        <v>70200</v>
      </c>
      <c r="E16" s="76">
        <f>AVERAGE(B16:D16)</f>
        <v>11500</v>
      </c>
    </row>
    <row r="17" spans="1:5" ht="16" thickBot="1" x14ac:dyDescent="0.25">
      <c r="A17" s="63" t="s">
        <v>624</v>
      </c>
      <c r="B17" s="77" t="str">
        <f>IF(B16&lt;=0,"N/A",B14/B16)</f>
        <v>N/A</v>
      </c>
      <c r="C17" s="77" t="str">
        <f>IF(C16&lt;=0,"N/A",C14/C16)</f>
        <v>N/A</v>
      </c>
      <c r="D17" s="77">
        <f>IF(D16&lt;=0,"N/A",D14/D16)</f>
        <v>45.092592592592595</v>
      </c>
      <c r="E17" s="77">
        <f>IF(E16&lt;=0,"N/A",D14/E16)</f>
        <v>275.26086956521738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Extrato_Bancario</vt:lpstr>
      <vt:lpstr>Lancamentos_ERP</vt:lpstr>
      <vt:lpstr>Receita_Clientes</vt:lpstr>
      <vt:lpstr>DRE_Gerencial</vt:lpstr>
      <vt:lpstr>AP_AR</vt:lpstr>
      <vt:lpstr>Caixa_Runway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Castro</cp:lastModifiedBy>
  <cp:revision>0</cp:revision>
  <dcterms:created xsi:type="dcterms:W3CDTF">2026-04-14T14:35:43Z</dcterms:created>
  <dcterms:modified xsi:type="dcterms:W3CDTF">2026-04-14T18:30:22Z</dcterms:modified>
  <dc:language>en-US</dc:language>
</cp:coreProperties>
</file>